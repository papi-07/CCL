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cisco-my.sharepoint.com/personal/anusbasa_cisco_com/Documents/Desktop/CISCO FORECAST LEAGUE/CCL - 2026/DATA PACK/"/>
    </mc:Choice>
  </mc:AlternateContent>
  <xr:revisionPtr revIDLastSave="86" documentId="8_{891B182C-E63D-49D9-AC25-D0C1267A6F0E}" xr6:coauthVersionLast="47" xr6:coauthVersionMax="47" xr10:uidLastSave="{4E9CE4D8-07B0-4B89-8C56-016A72DEFD5C}"/>
  <bookViews>
    <workbookView xWindow="-103" yWindow="-103" windowWidth="24892" windowHeight="14914" firstSheet="2" activeTab="2" xr2:uid="{F5379E5B-EDAA-49EE-B1E7-F9E6F1A9A895}"/>
  </bookViews>
  <sheets>
    <sheet name="Glossary" sheetId="13" r:id="rId1"/>
    <sheet name="Masked Product Insights " sheetId="8" r:id="rId2"/>
    <sheet name="Data Pack - Actual Bookings" sheetId="14" r:id="rId3"/>
    <sheet name="Big Deal" sheetId="9" r:id="rId4"/>
    <sheet name="SCMS" sheetId="10" r:id="rId5"/>
    <sheet name="VMS" sheetId="11" r:id="rId6"/>
  </sheets>
  <definedNames>
    <definedName name="_xlnm._FilterDatabase" localSheetId="2" hidden="1">'Data Pack - Actual Bookings'!$A$2:$V$33</definedName>
    <definedName name="_xlnm._FilterDatabase" localSheetId="1" hidden="1">'Masked Product Insights '!$A$1:$B$31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3" l="1"/>
  <c r="G8" i="13"/>
  <c r="H7" i="13"/>
  <c r="G7" i="13"/>
  <c r="H6" i="13"/>
  <c r="G6" i="13"/>
  <c r="H5" i="13"/>
  <c r="G5" i="13"/>
  <c r="H4" i="13"/>
  <c r="G4" i="13" s="1"/>
  <c r="H3" i="13"/>
  <c r="G3" i="13"/>
</calcChain>
</file>

<file path=xl/sharedStrings.xml><?xml version="1.0" encoding="utf-8"?>
<sst xmlns="http://schemas.openxmlformats.org/spreadsheetml/2006/main" count="1586" uniqueCount="215">
  <si>
    <t>Product Name</t>
  </si>
  <si>
    <t>Broad classification of Product</t>
  </si>
  <si>
    <t>Accuracy Calculation Examples</t>
  </si>
  <si>
    <t>Fiscal Qtr</t>
  </si>
  <si>
    <t xml:space="preserve">Cisco Fiscal Calendar is divided into 4 Qtrs </t>
  </si>
  <si>
    <t xml:space="preserve"> PRODUCT</t>
  </si>
  <si>
    <t xml:space="preserve">Forecast </t>
  </si>
  <si>
    <t>Booking Actuals</t>
  </si>
  <si>
    <t>Accuracy</t>
  </si>
  <si>
    <t>Bias</t>
  </si>
  <si>
    <t>Q1</t>
  </si>
  <si>
    <t>Quarter 1 - August to October</t>
  </si>
  <si>
    <t>A</t>
  </si>
  <si>
    <t>Q2</t>
  </si>
  <si>
    <t xml:space="preserve">Quarter 2 - November to January </t>
  </si>
  <si>
    <t>B</t>
  </si>
  <si>
    <t>Q3</t>
  </si>
  <si>
    <t>Quarter 3 - February to April</t>
  </si>
  <si>
    <t>C</t>
  </si>
  <si>
    <t>Q4</t>
  </si>
  <si>
    <t>Quarter 4 - May to July</t>
  </si>
  <si>
    <t>D</t>
  </si>
  <si>
    <t>Units</t>
  </si>
  <si>
    <t>Number of individual products booked</t>
  </si>
  <si>
    <t>E</t>
  </si>
  <si>
    <t xml:space="preserve">Demand Planners Forecast </t>
  </si>
  <si>
    <t>Demand Planner's Prediction</t>
  </si>
  <si>
    <t>F</t>
  </si>
  <si>
    <t xml:space="preserve">Marketing team's Forecast </t>
  </si>
  <si>
    <t>Forecast loaded by Marketing team</t>
  </si>
  <si>
    <t>MVcL team's forecast</t>
  </si>
  <si>
    <t xml:space="preserve">Forecast provided by the Data Science team. It is a multi-variate stream that incorporates both macroeconomic factors and Cisco-internal features during forecasting. </t>
  </si>
  <si>
    <t>BIAS</t>
  </si>
  <si>
    <t xml:space="preserve">Prediction bias is the systematic deviation between estimated and actual values. It is useful to see if you tend to overestimate (BIAS &gt; 0) or underestimate your predictions (BIAS &lt; 0) for all your items. Formula: (Forecast Booking units - Actual Booking units)/Actual Booking Units.
</t>
  </si>
  <si>
    <t xml:space="preserve">Forecast accuracy is the degree of difference between the forecasted demand and the actual order booking. In this case, between Forecasted demand and Actual Booked units. At a product level accuracy is calculated using the formula:MAX(0,1-ABSOLUTE(BIAS))
To calculate overall accuracy for 30 products we will calculate weighted accuracy using product cost to make sure high cost product accuracy gets more weightage than low cost product. </t>
  </si>
  <si>
    <t>Product Life Cycle (PLC)</t>
  </si>
  <si>
    <t>Sustaining - Product has reached maturity and has steady demamd.
NPI - Product has been newly introduced to the market/customer
Decline - Product experiences reduced demand, declining sales and potential obsolescence due to newer technologies or market changes</t>
  </si>
  <si>
    <t xml:space="preserve">Cost Weighted Rank </t>
  </si>
  <si>
    <t>Calculated using cost of individual product X CBP Prelim forecast</t>
  </si>
  <si>
    <t>Big Deal</t>
  </si>
  <si>
    <t>A Big Deal is a large customer order where a very high number of products/units are booked at once. These orders may occur once in a quarter or year, or may repeat periodically based on customer demand or historical buying patterns.</t>
  </si>
  <si>
    <t>1. SCMS – Sales Channel Market Segment</t>
  </si>
  <si>
    <t>Definition:</t>
  </si>
  <si>
    <t>SCMS represents the broad customer categories that Cisco targets through its sales channels, grouping organizations based on their size, type, and purchasing model.</t>
  </si>
  <si>
    <t>SCMS Category</t>
  </si>
  <si>
    <t>Description</t>
  </si>
  <si>
    <t>Commercial</t>
  </si>
  <si>
    <t>Mid-size businesses that adopt Cisco networking and technology solutions to support business operations and growth.</t>
  </si>
  <si>
    <t>Enterprise</t>
  </si>
  <si>
    <t>Large global or national organizations with complex IT environments requiring large-scale Cisco infrastructure and solutions.</t>
  </si>
  <si>
    <t>Other</t>
  </si>
  <si>
    <t>Customers that do not clearly fall under the standard SCMS categories.</t>
  </si>
  <si>
    <t>Public Sector</t>
  </si>
  <si>
    <t>Government bodies and publicly funded institutions such as education and healthcare that procure Cisco technologies.</t>
  </si>
  <si>
    <t>Service Provider</t>
  </si>
  <si>
    <t>Telecom and network service providers that use Cisco infrastructure to deliver connectivity and digital services to customers.</t>
  </si>
  <si>
    <t>SMB (Small &amp; Medium Business)</t>
  </si>
  <si>
    <t>Smaller organizations adopting Cisco networking solutions for foundational IT infrastructure and connectivity.</t>
  </si>
  <si>
    <t>2. VMS – Vertical Market Segment</t>
  </si>
  <si>
    <t>VMS represents industry-specific segments that classify customers based on the sector they operate in, helping Cisco understand adoption of its technologies across industries.</t>
  </si>
  <si>
    <t>VMS Category</t>
  </si>
  <si>
    <t>Education – Public/Private</t>
  </si>
  <si>
    <t>Schools, colleges, and universities using Cisco networks for campus connectivity, digital learning, and research infrastructure.</t>
  </si>
  <si>
    <t>Energy / Utilities</t>
  </si>
  <si>
    <t>Organizations involved in energy production, distribution, and utilities using Cisco networks for operational and industrial connectivity.</t>
  </si>
  <si>
    <t>Financial Services</t>
  </si>
  <si>
    <t>Banks, insurance companies, and financial institutions using Cisco technologies for secure transactions and digital banking infrastructure.</t>
  </si>
  <si>
    <t>Government</t>
  </si>
  <si>
    <t>National, state, or local government agencies using Cisco networks to support public services and secure communications.</t>
  </si>
  <si>
    <t>Health Care</t>
  </si>
  <si>
    <t>Hospitals and healthcare providers using Cisco infrastructure for medical systems, patient data, and connected healthcare services.</t>
  </si>
  <si>
    <t>Hospitality / Hotels &amp; Leisure</t>
  </si>
  <si>
    <t>Hotels, resorts, and leisure businesses using Cisco networking to support guest connectivity and operational systems.</t>
  </si>
  <si>
    <t>Manufacturing</t>
  </si>
  <si>
    <t>Industrial and production companies using Cisco networks for factory automation, IoT, and supply chain connectivity.</t>
  </si>
  <si>
    <t>Media / Entertainment</t>
  </si>
  <si>
    <t>Media companies and broadcasters using Cisco technology for content production, streaming, and distribution.</t>
  </si>
  <si>
    <t>Professional Services</t>
  </si>
  <si>
    <t>Consulting, legal, accounting, and advisory firms using Cisco solutions for enterprise connectivity and collaboration.</t>
  </si>
  <si>
    <t>Retail</t>
  </si>
  <si>
    <t>Retail chains and stores using Cisco networks for store connectivity, point-of-sale systems, and customer engagement technologies.</t>
  </si>
  <si>
    <t>Telecom and internet providers deploying Cisco infrastructure to deliver network services.</t>
  </si>
  <si>
    <t>Technical Services</t>
  </si>
  <si>
    <t>Technology service organizations providing IT or engineering services supported by Cisco infrastructure.</t>
  </si>
  <si>
    <t>Transportation</t>
  </si>
  <si>
    <t>Airlines, railways, logistics, and transportation networks using Cisco solutions for operational connectivity and monitoring.</t>
  </si>
  <si>
    <t>Unknown</t>
  </si>
  <si>
    <t>Customers whose industry classification is not clearly identified.</t>
  </si>
  <si>
    <t>Wholesale / Distribution</t>
  </si>
  <si>
    <t>Organizations involved in product distribution and supply chain operations using Cisco networking infrastructure.</t>
  </si>
  <si>
    <t>Masked Products</t>
  </si>
  <si>
    <t>SWITCH Enterprise 48-Port UPOE</t>
  </si>
  <si>
    <t>Enterprise-grade 48-port access switch supporting Universal PoE (up to 60W per port) to power high-demand devices such as advanced wireless access points, surveillance cameras, and IoT systems. Designed for campus access layers and smart building deployments with long-term software support.</t>
  </si>
  <si>
    <t>WIRELESS ACCESS POINT WiFi6E (Internal Antenna) Indoor</t>
  </si>
  <si>
    <t>Indoor Wi-Fi 6E tri-band access point (2.4/5/6 GHz) with internal antennas. Built for high-density office environments requiring higher bandwidth, low latency, and support for modern collaboration and cloud applications.</t>
  </si>
  <si>
    <t>SWITCH Core 25G/100G Fiber</t>
  </si>
  <si>
    <t>High-performance core switch with 25G fiber access ports and 100G uplinks. Designed for campus backbone and aggregation layers where high throughput and low latency are critical.</t>
  </si>
  <si>
    <t>SWITCH Enterprise 24-Port PoE+</t>
  </si>
  <si>
    <t>24-port enterprise switch supporting PoE+ (up to 30W per port) for powering IP phones, wireless access points, and cameras. Ideal for office floor access connectivity.</t>
  </si>
  <si>
    <t>WIRELESS ACCESS POINT WiFi6 (Internal Antenna) Indoor</t>
  </si>
  <si>
    <t>Indoor Wi-Fi 6 dual-band access point with internal antenna design. Suitable for medium-density workplaces such as classrooms, offices, and meeting spaces.</t>
  </si>
  <si>
    <t>ROUTER Core Modular Chassis</t>
  </si>
  <si>
    <t>High-capacity modular routing platform designed for core networks and service provider backbones. Supports scalable throughput, advanced routing protocols, and large traffic volumes.</t>
  </si>
  <si>
    <t>SWITCH Enterprise 48-Port Fiber (Non-PoE)</t>
  </si>
  <si>
    <t>48-port fiber-based enterprise switch (non-PoE) used in fiber-rich access or aggregation layers. Suitable for high-speed device connectivity where power delivery is not required.</t>
  </si>
  <si>
    <t>SWITCH Enterprise 25G Fiber</t>
  </si>
  <si>
    <t>Enterprise switch with 25G fiber ports for high-speed access or aggregation. Designed for environments with bandwidth-intensive applications and next-generation endpoints.</t>
  </si>
  <si>
    <t>SWITCH Enterprise 24-Port UPOE</t>
  </si>
  <si>
    <t>24-port enterprise access switch supporting UPOE for high-power devices. Commonly deployed in smart offices and dense wireless environments requiring enhanced power delivery.</t>
  </si>
  <si>
    <t>ROUTER Enterprise Edge 10G/40G</t>
  </si>
  <si>
    <t>Enterprise edge router with multiple 10G and 40G interfaces for WAN aggregation, secure connectivity, and SD-WAN deployments. Used at headquarters or large branches.</t>
  </si>
  <si>
    <t>SECURITY FIREWALL Next-Generation_2</t>
  </si>
  <si>
    <t>1RU next-generation firewall providing intrusion prevention, deep packet inspection, VPN services, and advanced threat protection. Deployed at enterprise perimeters and data centers.</t>
  </si>
  <si>
    <t>WIRELESS ACCESS POINT WiFi6 (External Antenna) Outdoor</t>
  </si>
  <si>
    <t>Outdoor Wi-Fi 6 access point with external antenna support for flexible coverage design. Suitable for campuses, stadiums, and outdoor enterprise environments.</t>
  </si>
  <si>
    <t>SWITCH Core 100G Fiber</t>
  </si>
  <si>
    <t>High-density 100G fiber switch designed for campus core and aggregation networks. Supports high-speed backbone connectivity and large-scale traffic handling.</t>
  </si>
  <si>
    <t>WIRELESS ACCESS POINT WiFi6E (External Antenna) Outdoor</t>
  </si>
  <si>
    <t>Outdoor Wi-Fi 6E tri-band access point with external antenna support. Designed for high-capacity wireless deployments requiring extended coverage and 6 GHz performance.</t>
  </si>
  <si>
    <t>SECURITY FIREWALL Next-Generation_1</t>
  </si>
  <si>
    <t>Enterprise security appliance delivering advanced firewall protection, IPS, and secure remote access for branch or mid-size deployments.</t>
  </si>
  <si>
    <t>SWITCH Enterprise 48-Port PoE+ with 10G Uplink</t>
  </si>
  <si>
    <t>48-port enterprise PoE+ switch with 10G uplinks and multi-gig support. Used in campus access networks to power endpoints while providing high-speed uplink connectivity.</t>
  </si>
  <si>
    <t>SWITCH Enterprise 24-Port PoE+ Compact</t>
  </si>
  <si>
    <t>Compact 24-port PoE+ enterprise switch with 10G uplinks. Designed for branch offices and space-constrained deployments.</t>
  </si>
  <si>
    <t>SWITCH Data Center 25G/100G Leaf</t>
  </si>
  <si>
    <t>Data center leaf switch supporting 25G server connections and 100G uplinks. Designed for spine-leaf architectures in cloud and virtualization environments.</t>
  </si>
  <si>
    <t>WIRELESS ACCESS POINT WiFi6 (External Antenna) Indoor</t>
  </si>
  <si>
    <t>Indoor Wi-Fi 6 access point with external antenna flexibility for customized coverage in enterprise offices.</t>
  </si>
  <si>
    <t>SWITCH Data Center 100G Spine</t>
  </si>
  <si>
    <t>High-performance 100G spine switch for large-scale data center fabrics. Supports high east-west traffic in cloud-scale environments.</t>
  </si>
  <si>
    <t>SWITCH Core 100G/400G Fiber</t>
  </si>
  <si>
    <t>Advanced core switch supporting both 100G and 400G connectivity. Designed for next-generation campus backbone and aggregation networks.</t>
  </si>
  <si>
    <t>IP PHONE Enterprise Desk</t>
  </si>
  <si>
    <t>Enterprise IP desk phone with HD voice and VoIP capabilities. Used for daily business communication in corporate environments.</t>
  </si>
  <si>
    <t>ROUTER Branch 4-Port PoE</t>
  </si>
  <si>
    <t>Compact branch router with integrated PoE ports for powering small office devices. Supports WAN connectivity, routing, and security services.</t>
  </si>
  <si>
    <t>SWITCH Industrial 8-Port PoE</t>
  </si>
  <si>
    <t>Rugged industrial Ethernet switch with 8 PoE ports and fiber uplinks. Designed for factories, warehouses, and harsh environments requiring durable networking.</t>
  </si>
  <si>
    <t>IP CONFERENCE PHONE</t>
  </si>
  <si>
    <t>Conference room IP phone designed for large meeting spaces with wideband audio coverage and enterprise voice integration.</t>
  </si>
  <si>
    <t>SWITCH Industrial 8-Port PoE Compact</t>
  </si>
  <si>
    <t>Compact rugged industrial switch supporting PoE. Used in control cabinets and space-constrained industrial environments.</t>
  </si>
  <si>
    <t>SWITCH Industrial Managed</t>
  </si>
  <si>
    <t>Managed industrial Ethernet switch with copper and combo ports, supporting resilient ring protocols for manufacturing networks.</t>
  </si>
  <si>
    <t>ROUTER Edge Aggregation Fiber</t>
  </si>
  <si>
    <t>Fiber-based edge aggregation router supporting multiple gigabit and 10G interfaces. Used for metro Ethernet and enterprise WAN aggregation.</t>
  </si>
  <si>
    <t>SWITCH Industrial 24-Port PoE</t>
  </si>
  <si>
    <t>24-port industrial PoE+ switch with high power budget and fiber uplinks. Designed for large-scale industrial and infrastructure deployments.</t>
  </si>
  <si>
    <t>ROUTER Branch 8-Port PoE</t>
  </si>
  <si>
    <t>Integrated branch router with 8 PoE ports and WAN uplink options. Supports routing, VPN, and security services for medium-sized branch offices.</t>
  </si>
  <si>
    <t>Cost Rank</t>
  </si>
  <si>
    <t xml:space="preserve">Product Name </t>
  </si>
  <si>
    <t>Product Life Cycle</t>
  </si>
  <si>
    <t>ACTUAL UNITS</t>
  </si>
  <si>
    <t xml:space="preserve">Forecasted Units </t>
  </si>
  <si>
    <t>Your Forecast FY26 Q2</t>
  </si>
  <si>
    <t>Demand Planners' Forecast</t>
  </si>
  <si>
    <t xml:space="preserve">Marketing Team's Forecast </t>
  </si>
  <si>
    <t>Data Science Team's Forecast</t>
  </si>
  <si>
    <t>FY23 Q2</t>
  </si>
  <si>
    <t>FY23 Q3</t>
  </si>
  <si>
    <t>FY23 Q4</t>
  </si>
  <si>
    <t>FY24 Q1</t>
  </si>
  <si>
    <t>FY24 Q2</t>
  </si>
  <si>
    <t>FY24 Q3</t>
  </si>
  <si>
    <t>FY24 Q4</t>
  </si>
  <si>
    <t>FY25 Q1</t>
  </si>
  <si>
    <t>FY25 Q2</t>
  </si>
  <si>
    <t>FY25 Q3</t>
  </si>
  <si>
    <t>FY25 Q4</t>
  </si>
  <si>
    <t>FY26 Q1</t>
  </si>
  <si>
    <t>FY26 Q2</t>
  </si>
  <si>
    <t>Sustaining</t>
  </si>
  <si>
    <t>NPI-Ramp</t>
  </si>
  <si>
    <t>Decline</t>
  </si>
  <si>
    <t>Demand Planning Team's Forecast Accuracy</t>
  </si>
  <si>
    <t>Marketing Team's Forecast Accuracy</t>
  </si>
  <si>
    <t>Data Science Team's Forecast Accuracy</t>
  </si>
  <si>
    <t>FY2026 Q1</t>
  </si>
  <si>
    <t>FY2025 Q4</t>
  </si>
  <si>
    <t>FY2025 Q3</t>
  </si>
  <si>
    <t>PLID Masked</t>
  </si>
  <si>
    <t>MFG Book Units</t>
  </si>
  <si>
    <t>Big Deals</t>
  </si>
  <si>
    <t>Avg Deals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</si>
  <si>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</si>
  <si>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</si>
  <si>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</si>
  <si>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</si>
  <si>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</si>
  <si>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</si>
  <si>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</si>
  <si>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</si>
  <si>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PLID (Masked)</t>
  </si>
  <si>
    <t>Sales Coverage Code</t>
  </si>
  <si>
    <t xml:space="preserve"> SCMS Units</t>
  </si>
  <si>
    <t>2023Q1</t>
  </si>
  <si>
    <t>2023Q2</t>
  </si>
  <si>
    <t>2023Q3</t>
  </si>
  <si>
    <t>2023Q4</t>
  </si>
  <si>
    <t>2024Q1</t>
  </si>
  <si>
    <t>COMMERCIAL</t>
  </si>
  <si>
    <t>ENTERPRISE</t>
  </si>
  <si>
    <t>OTHER</t>
  </si>
  <si>
    <t>PUBLIC SECTOR</t>
  </si>
  <si>
    <t>SERVICE PROVIDER</t>
  </si>
  <si>
    <t>SMB</t>
  </si>
  <si>
    <t>Vms Top Name</t>
  </si>
  <si>
    <t xml:space="preserve"> VMS Units</t>
  </si>
  <si>
    <t>Education- Public/Private</t>
  </si>
  <si>
    <t>Energy/Utilities</t>
  </si>
  <si>
    <t>Hospitality/Hotels &amp; Leisure</t>
  </si>
  <si>
    <t>Media/Entertainment</t>
  </si>
  <si>
    <t>Wholesale/Distribution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</si>
</sst>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iscoSansTT ExtraLight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b/>
      <sz val="8"/>
      <color rgb="FF000000"/>
      <name val="Verdana"/>
      <family val="2"/>
    </font>
    <font>
      <b/>
      <sz val="8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CiscoSansTT ExtraLight"/>
      <family val="2"/>
    </font>
    <font>
      <sz val="10"/>
      <color theme="1"/>
      <name val="CiscoSansTT ExtraLight"/>
      <family val="2"/>
    </font>
    <font>
      <b/>
      <sz val="11"/>
      <color theme="1"/>
      <name val="CiscoSansTT ExtraLight"/>
      <family val="2"/>
    </font>
    <font>
      <b/>
      <sz val="9"/>
      <color theme="0"/>
      <name val="CiscoSansTT ExtraLight"/>
      <family val="2"/>
    </font>
    <font>
      <b/>
      <sz val="9"/>
      <name val="CiscoSansTT ExtraLight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0"/>
      <name val="Verdana"/>
      <family val="2"/>
    </font>
    <font>
      <sz val="12"/>
      <color rgb="FF002060"/>
      <name val="Verdana"/>
      <family val="2"/>
    </font>
    <font>
      <b/>
      <sz val="9"/>
      <color theme="0"/>
      <name val="Verdana"/>
      <family val="2"/>
    </font>
    <font>
      <sz val="12"/>
      <color theme="0"/>
      <name val="Verdana"/>
      <family val="2"/>
    </font>
    <font>
      <sz val="9"/>
      <color rgb="FF002060"/>
      <name val="Verdana"/>
      <family val="2"/>
    </font>
    <font>
      <sz val="9"/>
      <name val="Verdana"/>
      <family val="2"/>
    </font>
    <font>
      <sz val="9"/>
      <color theme="1"/>
      <name val="Verdana"/>
      <family val="2"/>
    </font>
    <font>
      <b/>
      <sz val="9"/>
      <color theme="1"/>
      <name val="CiscoSansTT ExtraLight"/>
      <family val="2"/>
    </font>
    <font>
      <sz val="9"/>
      <color rgb="FF000000"/>
      <name val="CiscoSansTT ExtraLight"/>
      <family val="2"/>
    </font>
    <font>
      <i/>
      <sz val="10"/>
      <color theme="1"/>
      <name val="CiscoSansTT ExtraLight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C0E6F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0E6F5"/>
      </patternFill>
    </fill>
    <fill>
      <patternFill patternType="solid">
        <fgColor theme="8" tint="0.79998168889431442"/>
        <bgColor rgb="FFC0E6F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horizontal="left" vertical="top"/>
    </xf>
    <xf numFmtId="0" fontId="4" fillId="0" borderId="1" xfId="0" applyFont="1" applyBorder="1"/>
    <xf numFmtId="3" fontId="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8" fillId="12" borderId="1" xfId="0" applyFont="1" applyFill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8" fillId="6" borderId="1" xfId="0" applyFont="1" applyFill="1" applyBorder="1" applyAlignment="1">
      <alignment horizontal="center"/>
    </xf>
    <xf numFmtId="0" fontId="8" fillId="9" borderId="1" xfId="0" applyFont="1" applyFill="1" applyBorder="1"/>
    <xf numFmtId="0" fontId="8" fillId="11" borderId="1" xfId="0" applyFont="1" applyFill="1" applyBorder="1"/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/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4" fillId="0" borderId="0" xfId="0" applyFont="1"/>
    <xf numFmtId="1" fontId="14" fillId="0" borderId="0" xfId="0" applyNumberFormat="1" applyFont="1"/>
    <xf numFmtId="0" fontId="13" fillId="0" borderId="0" xfId="0" applyFont="1"/>
    <xf numFmtId="1" fontId="15" fillId="2" borderId="1" xfId="2" applyNumberFormat="1" applyFont="1" applyFill="1" applyBorder="1" applyAlignment="1">
      <alignment horizontal="left" wrapText="1"/>
    </xf>
    <xf numFmtId="1" fontId="16" fillId="3" borderId="1" xfId="2" applyNumberFormat="1" applyFont="1" applyFill="1" applyBorder="1" applyAlignment="1">
      <alignment horizontal="left" wrapText="1"/>
    </xf>
    <xf numFmtId="0" fontId="15" fillId="2" borderId="1" xfId="2" applyFont="1" applyFill="1" applyBorder="1" applyAlignment="1">
      <alignment horizontal="left" wrapText="1"/>
    </xf>
    <xf numFmtId="1" fontId="13" fillId="0" borderId="1" xfId="0" applyNumberFormat="1" applyFont="1" applyBorder="1"/>
    <xf numFmtId="10" fontId="13" fillId="0" borderId="1" xfId="4" applyNumberFormat="1" applyFont="1" applyBorder="1"/>
    <xf numFmtId="9" fontId="13" fillId="0" borderId="1" xfId="4" applyFont="1" applyBorder="1"/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20" fillId="15" borderId="2" xfId="0" applyNumberFormat="1" applyFont="1" applyFill="1" applyBorder="1" applyAlignment="1">
      <alignment vertical="center" wrapText="1"/>
    </xf>
    <xf numFmtId="1" fontId="20" fillId="16" borderId="2" xfId="0" applyNumberFormat="1" applyFont="1" applyFill="1" applyBorder="1" applyAlignment="1">
      <alignment vertical="center" wrapText="1"/>
    </xf>
    <xf numFmtId="1" fontId="20" fillId="17" borderId="2" xfId="0" applyNumberFormat="1" applyFont="1" applyFill="1" applyBorder="1" applyAlignment="1">
      <alignment vertical="center" wrapText="1"/>
    </xf>
    <xf numFmtId="0" fontId="22" fillId="14" borderId="2" xfId="2" applyFont="1" applyFill="1" applyBorder="1" applyAlignment="1">
      <alignment vertical="center" wrapText="1"/>
    </xf>
    <xf numFmtId="0" fontId="4" fillId="0" borderId="15" xfId="0" applyFont="1" applyBorder="1"/>
    <xf numFmtId="0" fontId="24" fillId="19" borderId="1" xfId="0" applyFont="1" applyFill="1" applyBorder="1"/>
    <xf numFmtId="0" fontId="24" fillId="19" borderId="1" xfId="0" applyFont="1" applyFill="1" applyBorder="1" applyAlignment="1">
      <alignment vertical="center"/>
    </xf>
    <xf numFmtId="165" fontId="4" fillId="0" borderId="1" xfId="4" applyNumberFormat="1" applyFont="1" applyBorder="1"/>
    <xf numFmtId="165" fontId="4" fillId="0" borderId="1" xfId="0" applyNumberFormat="1" applyFont="1" applyBorder="1"/>
    <xf numFmtId="0" fontId="6" fillId="18" borderId="3" xfId="0" applyFont="1" applyFill="1" applyBorder="1" applyAlignment="1">
      <alignment horizontal="center" vertical="center" wrapText="1"/>
    </xf>
    <xf numFmtId="0" fontId="17" fillId="0" borderId="1" xfId="0" applyFont="1" applyBorder="1"/>
    <xf numFmtId="0" fontId="24" fillId="2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3" fillId="0" borderId="0" xfId="0" applyFont="1"/>
    <xf numFmtId="0" fontId="14" fillId="8" borderId="0" xfId="0" applyFont="1" applyFill="1" applyAlignment="1">
      <alignment vertical="center"/>
    </xf>
    <xf numFmtId="0" fontId="3" fillId="8" borderId="0" xfId="0" applyFont="1" applyFill="1"/>
    <xf numFmtId="0" fontId="12" fillId="0" borderId="0" xfId="0" applyFont="1"/>
    <xf numFmtId="0" fontId="28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5" borderId="0" xfId="0" applyFont="1" applyFill="1" applyAlignment="1">
      <alignment vertical="center"/>
    </xf>
    <xf numFmtId="0" fontId="3" fillId="5" borderId="0" xfId="0" applyFont="1" applyFill="1"/>
    <xf numFmtId="0" fontId="27" fillId="0" borderId="19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0" borderId="19" xfId="0" applyFont="1" applyBorder="1"/>
    <xf numFmtId="1" fontId="18" fillId="4" borderId="3" xfId="1" applyNumberFormat="1" applyFont="1" applyFill="1" applyBorder="1" applyAlignment="1">
      <alignment horizontal="center" vertical="center" wrapText="1"/>
    </xf>
    <xf numFmtId="1" fontId="18" fillId="4" borderId="13" xfId="1" applyNumberFormat="1" applyFont="1" applyFill="1" applyBorder="1" applyAlignment="1">
      <alignment horizontal="center" vertical="center" wrapText="1"/>
    </xf>
    <xf numFmtId="1" fontId="18" fillId="4" borderId="14" xfId="1" applyNumberFormat="1" applyFont="1" applyFill="1" applyBorder="1" applyAlignment="1">
      <alignment horizontal="center" vertical="center" wrapText="1"/>
    </xf>
    <xf numFmtId="1" fontId="26" fillId="20" borderId="3" xfId="1" applyNumberFormat="1" applyFont="1" applyFill="1" applyBorder="1" applyAlignment="1">
      <alignment horizontal="center" vertical="center" wrapText="1"/>
    </xf>
    <xf numFmtId="1" fontId="26" fillId="20" borderId="13" xfId="1" applyNumberFormat="1" applyFont="1" applyFill="1" applyBorder="1" applyAlignment="1">
      <alignment horizontal="center" vertical="center" wrapText="1"/>
    </xf>
    <xf numFmtId="1" fontId="26" fillId="20" borderId="14" xfId="1" applyNumberFormat="1" applyFont="1" applyFill="1" applyBorder="1" applyAlignment="1">
      <alignment horizontal="center" vertical="center" wrapText="1"/>
    </xf>
    <xf numFmtId="0" fontId="24" fillId="21" borderId="1" xfId="0" applyFont="1" applyFill="1" applyBorder="1" applyAlignment="1">
      <alignment horizontal="center"/>
    </xf>
    <xf numFmtId="0" fontId="18" fillId="4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164" fontId="18" fillId="4" borderId="3" xfId="1" applyFont="1" applyFill="1" applyBorder="1" applyAlignment="1">
      <alignment horizontal="center" vertical="center" wrapText="1"/>
    </xf>
    <xf numFmtId="164" fontId="18" fillId="4" borderId="13" xfId="1" applyFont="1" applyFill="1" applyBorder="1" applyAlignment="1">
      <alignment horizontal="center" vertical="center" wrapText="1"/>
    </xf>
    <xf numFmtId="164" fontId="18" fillId="4" borderId="14" xfId="1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21" fillId="18" borderId="7" xfId="0" applyFont="1" applyFill="1" applyBorder="1" applyAlignment="1">
      <alignment horizontal="center" vertical="center" wrapText="1"/>
    </xf>
    <xf numFmtId="0" fontId="21" fillId="18" borderId="8" xfId="0" applyFont="1" applyFill="1" applyBorder="1" applyAlignment="1">
      <alignment horizontal="center" vertical="center" wrapText="1"/>
    </xf>
    <xf numFmtId="0" fontId="21" fillId="18" borderId="9" xfId="0" applyFont="1" applyFill="1" applyBorder="1" applyAlignment="1">
      <alignment horizontal="center" vertical="center" wrapText="1"/>
    </xf>
    <xf numFmtId="164" fontId="26" fillId="20" borderId="16" xfId="1" applyFont="1" applyFill="1" applyBorder="1" applyAlignment="1">
      <alignment horizontal="center" vertical="center" wrapText="1"/>
    </xf>
    <xf numFmtId="164" fontId="26" fillId="20" borderId="17" xfId="1" applyFont="1" applyFill="1" applyBorder="1" applyAlignment="1">
      <alignment horizontal="center" vertical="center" wrapText="1"/>
    </xf>
    <xf numFmtId="164" fontId="26" fillId="20" borderId="18" xfId="1" applyFont="1" applyFill="1" applyBorder="1" applyAlignment="1">
      <alignment horizontal="center" vertical="center" wrapText="1"/>
    </xf>
    <xf numFmtId="9" fontId="23" fillId="15" borderId="1" xfId="4" applyFont="1" applyFill="1" applyBorder="1" applyAlignment="1">
      <alignment horizontal="center"/>
    </xf>
    <xf numFmtId="9" fontId="25" fillId="16" borderId="1" xfId="4" applyFont="1" applyFill="1" applyBorder="1" applyAlignment="1">
      <alignment horizontal="center"/>
    </xf>
    <xf numFmtId="9" fontId="25" fillId="17" borderId="1" xfId="4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 wrapText="1"/>
    </xf>
    <xf numFmtId="0" fontId="10" fillId="8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164" fontId="7" fillId="4" borderId="1" xfId="1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5">
    <cellStyle name="Currency" xfId="1" builtinId="4"/>
    <cellStyle name="Normal" xfId="0" builtinId="0"/>
    <cellStyle name="Normal 2" xfId="3" xr:uid="{B15400FA-7CC6-494C-A2E3-A87F2A3C2883}"/>
    <cellStyle name="Normal 4" xfId="2" xr:uid="{B8FB504B-374F-41CE-AB50-D267402F637F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D93B-D6D1-40EB-8DA9-CDA29DFDF152}">
  <sheetPr>
    <tabColor rgb="FF7030A0"/>
  </sheetPr>
  <dimension ref="A1:H49"/>
  <sheetViews>
    <sheetView topLeftCell="A14" workbookViewId="0">
      <selection activeCell="C2" sqref="C2"/>
    </sheetView>
  </sheetViews>
  <sheetFormatPr defaultColWidth="9.28515625" defaultRowHeight="15.4"/>
  <cols>
    <col min="1" max="1" width="32.5703125" style="48" customWidth="1"/>
    <col min="2" max="2" width="122.42578125" style="48" customWidth="1"/>
    <col min="3" max="15" width="9.7109375" style="48" customWidth="1"/>
    <col min="16" max="16384" width="9.28515625" style="48"/>
  </cols>
  <sheetData>
    <row r="1" spans="1:8">
      <c r="A1" s="16" t="s">
        <v>0</v>
      </c>
      <c r="B1" s="17" t="s">
        <v>1</v>
      </c>
      <c r="D1" s="20" t="s">
        <v>2</v>
      </c>
      <c r="E1" s="21"/>
      <c r="F1" s="20"/>
      <c r="G1" s="22"/>
      <c r="H1" s="22"/>
    </row>
    <row r="2" spans="1:8" ht="26.1">
      <c r="A2" s="16" t="s">
        <v>3</v>
      </c>
      <c r="B2" s="18" t="s">
        <v>4</v>
      </c>
      <c r="D2" s="23" t="s">
        <v>5</v>
      </c>
      <c r="E2" s="24" t="s">
        <v>6</v>
      </c>
      <c r="F2" s="23" t="s">
        <v>7</v>
      </c>
      <c r="G2" s="25" t="s">
        <v>8</v>
      </c>
      <c r="H2" s="25" t="s">
        <v>9</v>
      </c>
    </row>
    <row r="3" spans="1:8">
      <c r="A3" s="16" t="s">
        <v>10</v>
      </c>
      <c r="B3" s="17" t="s">
        <v>11</v>
      </c>
      <c r="D3" s="17" t="s">
        <v>12</v>
      </c>
      <c r="E3" s="26">
        <v>1800</v>
      </c>
      <c r="F3" s="26">
        <v>450</v>
      </c>
      <c r="G3" s="27">
        <f>IFERROR(MAX(0,1-ABS(H3)),0)</f>
        <v>0</v>
      </c>
      <c r="H3" s="28">
        <f>(E3-F3)/F3</f>
        <v>3</v>
      </c>
    </row>
    <row r="4" spans="1:8">
      <c r="A4" s="16" t="s">
        <v>13</v>
      </c>
      <c r="B4" s="17" t="s">
        <v>14</v>
      </c>
      <c r="D4" s="17" t="s">
        <v>15</v>
      </c>
      <c r="E4" s="26">
        <v>1800</v>
      </c>
      <c r="F4" s="26">
        <v>20000</v>
      </c>
      <c r="G4" s="27">
        <f t="shared" ref="G4:G8" si="0">IFERROR(MAX(0,1-ABS(H4)),0)</f>
        <v>8.9999999999999969E-2</v>
      </c>
      <c r="H4" s="28">
        <f t="shared" ref="H4:H8" si="1">(E4-F4)/F4</f>
        <v>-0.91</v>
      </c>
    </row>
    <row r="5" spans="1:8">
      <c r="A5" s="16" t="s">
        <v>16</v>
      </c>
      <c r="B5" s="17" t="s">
        <v>17</v>
      </c>
      <c r="D5" s="17" t="s">
        <v>18</v>
      </c>
      <c r="E5" s="26">
        <v>80300</v>
      </c>
      <c r="F5" s="26">
        <v>87298</v>
      </c>
      <c r="G5" s="27">
        <f t="shared" si="0"/>
        <v>0.91983779697129375</v>
      </c>
      <c r="H5" s="28">
        <f t="shared" si="1"/>
        <v>-8.0162203028706275E-2</v>
      </c>
    </row>
    <row r="6" spans="1:8">
      <c r="A6" s="16" t="s">
        <v>19</v>
      </c>
      <c r="B6" s="17" t="s">
        <v>20</v>
      </c>
      <c r="D6" s="17" t="s">
        <v>21</v>
      </c>
      <c r="E6" s="26">
        <v>12800</v>
      </c>
      <c r="F6" s="26">
        <v>12207</v>
      </c>
      <c r="G6" s="27">
        <f t="shared" si="0"/>
        <v>0.95142131563856802</v>
      </c>
      <c r="H6" s="28">
        <f t="shared" si="1"/>
        <v>4.8578684361431965E-2</v>
      </c>
    </row>
    <row r="7" spans="1:8">
      <c r="A7" s="16" t="s">
        <v>22</v>
      </c>
      <c r="B7" s="17" t="s">
        <v>23</v>
      </c>
      <c r="D7" s="17" t="s">
        <v>24</v>
      </c>
      <c r="E7" s="26">
        <v>68000</v>
      </c>
      <c r="F7" s="26">
        <v>51855</v>
      </c>
      <c r="G7" s="27">
        <f t="shared" si="0"/>
        <v>0.68865104618648154</v>
      </c>
      <c r="H7" s="28">
        <f t="shared" si="1"/>
        <v>0.31134895381351846</v>
      </c>
    </row>
    <row r="8" spans="1:8">
      <c r="A8" s="19" t="s">
        <v>25</v>
      </c>
      <c r="B8" s="17" t="s">
        <v>26</v>
      </c>
      <c r="D8" s="17" t="s">
        <v>27</v>
      </c>
      <c r="E8" s="26">
        <v>7450</v>
      </c>
      <c r="F8" s="26">
        <v>10022</v>
      </c>
      <c r="G8" s="27">
        <f t="shared" si="0"/>
        <v>0.7433645978846537</v>
      </c>
      <c r="H8" s="28">
        <f t="shared" si="1"/>
        <v>-0.25663540211534625</v>
      </c>
    </row>
    <row r="9" spans="1:8" ht="16.350000000000001" customHeight="1">
      <c r="A9" s="19" t="s">
        <v>28</v>
      </c>
      <c r="B9" s="17" t="s">
        <v>29</v>
      </c>
    </row>
    <row r="10" spans="1:8" ht="30.75" customHeight="1">
      <c r="A10" s="47" t="s">
        <v>30</v>
      </c>
      <c r="B10" s="58" t="s">
        <v>31</v>
      </c>
    </row>
    <row r="11" spans="1:8" ht="49.7" customHeight="1">
      <c r="A11" s="16" t="s">
        <v>32</v>
      </c>
      <c r="B11" s="18" t="s">
        <v>33</v>
      </c>
    </row>
    <row r="12" spans="1:8" ht="65.650000000000006" customHeight="1">
      <c r="A12" s="16" t="s">
        <v>8</v>
      </c>
      <c r="B12" s="18" t="s">
        <v>34</v>
      </c>
    </row>
    <row r="13" spans="1:8" ht="62.1" customHeight="1">
      <c r="A13" s="29" t="s">
        <v>35</v>
      </c>
      <c r="B13" s="30" t="s">
        <v>36</v>
      </c>
    </row>
    <row r="14" spans="1:8" ht="33.4" customHeight="1">
      <c r="A14" s="29" t="s">
        <v>37</v>
      </c>
      <c r="B14" s="31" t="s">
        <v>38</v>
      </c>
    </row>
    <row r="15" spans="1:8" ht="34.35" customHeight="1">
      <c r="A15" s="29" t="s">
        <v>39</v>
      </c>
      <c r="B15" s="30" t="s">
        <v>40</v>
      </c>
    </row>
    <row r="18" spans="1:2">
      <c r="A18" s="56" t="s">
        <v>41</v>
      </c>
      <c r="B18" s="57"/>
    </row>
    <row r="19" spans="1:2">
      <c r="A19" s="51" t="s">
        <v>42</v>
      </c>
      <c r="B19" s="22"/>
    </row>
    <row r="20" spans="1:2">
      <c r="A20" s="52" t="s">
        <v>43</v>
      </c>
      <c r="B20" s="22"/>
    </row>
    <row r="21" spans="1:2">
      <c r="A21" s="22"/>
      <c r="B21" s="22"/>
    </row>
    <row r="22" spans="1:2">
      <c r="A22" s="53" t="s">
        <v>44</v>
      </c>
      <c r="B22" s="53" t="s">
        <v>45</v>
      </c>
    </row>
    <row r="23" spans="1:2">
      <c r="A23" s="55" t="s">
        <v>46</v>
      </c>
      <c r="B23" s="54" t="s">
        <v>47</v>
      </c>
    </row>
    <row r="24" spans="1:2">
      <c r="A24" s="55" t="s">
        <v>48</v>
      </c>
      <c r="B24" s="54" t="s">
        <v>49</v>
      </c>
    </row>
    <row r="25" spans="1:2">
      <c r="A25" s="55" t="s">
        <v>50</v>
      </c>
      <c r="B25" s="54" t="s">
        <v>51</v>
      </c>
    </row>
    <row r="26" spans="1:2">
      <c r="A26" s="55" t="s">
        <v>52</v>
      </c>
      <c r="B26" s="54" t="s">
        <v>53</v>
      </c>
    </row>
    <row r="27" spans="1:2">
      <c r="A27" s="55" t="s">
        <v>54</v>
      </c>
      <c r="B27" s="54" t="s">
        <v>55</v>
      </c>
    </row>
    <row r="28" spans="1:2">
      <c r="A28" s="55" t="s">
        <v>56</v>
      </c>
      <c r="B28" s="54" t="s">
        <v>57</v>
      </c>
    </row>
    <row r="30" spans="1:2">
      <c r="A30" s="49" t="s">
        <v>58</v>
      </c>
      <c r="B30" s="50"/>
    </row>
    <row r="31" spans="1:2">
      <c r="A31" s="51" t="s">
        <v>42</v>
      </c>
      <c r="B31" s="22"/>
    </row>
    <row r="32" spans="1:2" ht="17.100000000000001" customHeight="1">
      <c r="A32" s="52" t="s">
        <v>59</v>
      </c>
      <c r="B32" s="22"/>
    </row>
    <row r="33" spans="1:2">
      <c r="A33" s="22"/>
      <c r="B33" s="22"/>
    </row>
    <row r="34" spans="1:2">
      <c r="A34" s="53" t="s">
        <v>60</v>
      </c>
      <c r="B34" s="53" t="s">
        <v>45</v>
      </c>
    </row>
    <row r="35" spans="1:2">
      <c r="A35" s="55" t="s">
        <v>61</v>
      </c>
      <c r="B35" s="54" t="s">
        <v>62</v>
      </c>
    </row>
    <row r="36" spans="1:2">
      <c r="A36" s="55" t="s">
        <v>63</v>
      </c>
      <c r="B36" s="54" t="s">
        <v>64</v>
      </c>
    </row>
    <row r="37" spans="1:2">
      <c r="A37" s="55" t="s">
        <v>65</v>
      </c>
      <c r="B37" s="54" t="s">
        <v>66</v>
      </c>
    </row>
    <row r="38" spans="1:2">
      <c r="A38" s="55" t="s">
        <v>67</v>
      </c>
      <c r="B38" s="54" t="s">
        <v>68</v>
      </c>
    </row>
    <row r="39" spans="1:2">
      <c r="A39" s="55" t="s">
        <v>69</v>
      </c>
      <c r="B39" s="54" t="s">
        <v>70</v>
      </c>
    </row>
    <row r="40" spans="1:2">
      <c r="A40" s="55" t="s">
        <v>71</v>
      </c>
      <c r="B40" s="54" t="s">
        <v>72</v>
      </c>
    </row>
    <row r="41" spans="1:2">
      <c r="A41" s="55" t="s">
        <v>73</v>
      </c>
      <c r="B41" s="54" t="s">
        <v>74</v>
      </c>
    </row>
    <row r="42" spans="1:2">
      <c r="A42" s="55" t="s">
        <v>75</v>
      </c>
      <c r="B42" s="54" t="s">
        <v>76</v>
      </c>
    </row>
    <row r="43" spans="1:2">
      <c r="A43" s="55" t="s">
        <v>77</v>
      </c>
      <c r="B43" s="54" t="s">
        <v>78</v>
      </c>
    </row>
    <row r="44" spans="1:2">
      <c r="A44" s="55" t="s">
        <v>79</v>
      </c>
      <c r="B44" s="54" t="s">
        <v>80</v>
      </c>
    </row>
    <row r="45" spans="1:2">
      <c r="A45" s="55" t="s">
        <v>54</v>
      </c>
      <c r="B45" s="54" t="s">
        <v>81</v>
      </c>
    </row>
    <row r="46" spans="1:2">
      <c r="A46" s="55" t="s">
        <v>82</v>
      </c>
      <c r="B46" s="54" t="s">
        <v>83</v>
      </c>
    </row>
    <row r="47" spans="1:2">
      <c r="A47" s="55" t="s">
        <v>84</v>
      </c>
      <c r="B47" s="54" t="s">
        <v>85</v>
      </c>
    </row>
    <row r="48" spans="1:2">
      <c r="A48" s="55" t="s">
        <v>86</v>
      </c>
      <c r="B48" s="54" t="s">
        <v>87</v>
      </c>
    </row>
    <row r="49" spans="1:2">
      <c r="A49" s="55" t="s">
        <v>88</v>
      </c>
      <c r="B49" s="5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8C2C-F0A9-4DFB-9CF8-5F645C7BBA7D}">
  <sheetPr>
    <tabColor rgb="FFFFC000"/>
  </sheetPr>
  <dimension ref="A1:B31"/>
  <sheetViews>
    <sheetView topLeftCell="A11" workbookViewId="0">
      <selection activeCell="A17" sqref="A17"/>
    </sheetView>
  </sheetViews>
  <sheetFormatPr defaultRowHeight="14.65"/>
  <cols>
    <col min="1" max="1" width="37" style="8" customWidth="1"/>
    <col min="2" max="2" width="83" customWidth="1"/>
  </cols>
  <sheetData>
    <row r="1" spans="1:2" ht="27" customHeight="1">
      <c r="A1" s="14" t="s">
        <v>90</v>
      </c>
      <c r="B1" s="14" t="s">
        <v>45</v>
      </c>
    </row>
    <row r="2" spans="1:2" ht="42.95" customHeight="1">
      <c r="A2" s="15" t="s">
        <v>91</v>
      </c>
      <c r="B2" s="5" t="s">
        <v>92</v>
      </c>
    </row>
    <row r="3" spans="1:2" ht="42.95" customHeight="1">
      <c r="A3" s="15" t="s">
        <v>93</v>
      </c>
      <c r="B3" s="5" t="s">
        <v>94</v>
      </c>
    </row>
    <row r="4" spans="1:2" ht="42.95" customHeight="1">
      <c r="A4" s="15" t="s">
        <v>95</v>
      </c>
      <c r="B4" s="5" t="s">
        <v>96</v>
      </c>
    </row>
    <row r="5" spans="1:2" ht="42.95" customHeight="1">
      <c r="A5" s="15" t="s">
        <v>97</v>
      </c>
      <c r="B5" s="5" t="s">
        <v>98</v>
      </c>
    </row>
    <row r="6" spans="1:2" ht="42.95" customHeight="1">
      <c r="A6" s="15" t="s">
        <v>99</v>
      </c>
      <c r="B6" s="5" t="s">
        <v>100</v>
      </c>
    </row>
    <row r="7" spans="1:2" ht="42.95" customHeight="1">
      <c r="A7" s="15" t="s">
        <v>101</v>
      </c>
      <c r="B7" s="5" t="s">
        <v>102</v>
      </c>
    </row>
    <row r="8" spans="1:2" ht="42.95" customHeight="1">
      <c r="A8" s="15" t="s">
        <v>103</v>
      </c>
      <c r="B8" s="5" t="s">
        <v>104</v>
      </c>
    </row>
    <row r="9" spans="1:2" ht="42.95" customHeight="1">
      <c r="A9" s="15" t="s">
        <v>105</v>
      </c>
      <c r="B9" s="5" t="s">
        <v>106</v>
      </c>
    </row>
    <row r="10" spans="1:2" ht="42.95" customHeight="1">
      <c r="A10" s="15" t="s">
        <v>107</v>
      </c>
      <c r="B10" s="5" t="s">
        <v>108</v>
      </c>
    </row>
    <row r="11" spans="1:2" ht="42.95" customHeight="1">
      <c r="A11" s="15" t="s">
        <v>109</v>
      </c>
      <c r="B11" s="5" t="s">
        <v>110</v>
      </c>
    </row>
    <row r="12" spans="1:2" ht="42.95" customHeight="1">
      <c r="A12" s="15" t="s">
        <v>111</v>
      </c>
      <c r="B12" s="5" t="s">
        <v>112</v>
      </c>
    </row>
    <row r="13" spans="1:2" ht="42.95" customHeight="1">
      <c r="A13" s="15" t="s">
        <v>113</v>
      </c>
      <c r="B13" s="5" t="s">
        <v>114</v>
      </c>
    </row>
    <row r="14" spans="1:2" ht="42.95" customHeight="1">
      <c r="A14" s="15" t="s">
        <v>115</v>
      </c>
      <c r="B14" s="5" t="s">
        <v>116</v>
      </c>
    </row>
    <row r="15" spans="1:2" ht="42.95" customHeight="1">
      <c r="A15" s="15" t="s">
        <v>117</v>
      </c>
      <c r="B15" s="5" t="s">
        <v>118</v>
      </c>
    </row>
    <row r="16" spans="1:2" ht="42.95" customHeight="1">
      <c r="A16" s="15" t="s">
        <v>119</v>
      </c>
      <c r="B16" s="5" t="s">
        <v>120</v>
      </c>
    </row>
    <row r="17" spans="1:2" ht="42.95" customHeight="1">
      <c r="A17" s="15" t="s">
        <v>121</v>
      </c>
      <c r="B17" s="5" t="s">
        <v>122</v>
      </c>
    </row>
    <row r="18" spans="1:2" ht="42.95" customHeight="1">
      <c r="A18" s="15" t="s">
        <v>123</v>
      </c>
      <c r="B18" s="5" t="s">
        <v>124</v>
      </c>
    </row>
    <row r="19" spans="1:2" ht="42.95" customHeight="1">
      <c r="A19" s="15" t="s">
        <v>125</v>
      </c>
      <c r="B19" s="5" t="s">
        <v>126</v>
      </c>
    </row>
    <row r="20" spans="1:2" ht="42.95" customHeight="1">
      <c r="A20" s="15" t="s">
        <v>127</v>
      </c>
      <c r="B20" s="5" t="s">
        <v>128</v>
      </c>
    </row>
    <row r="21" spans="1:2" ht="42.95" customHeight="1">
      <c r="A21" s="15" t="s">
        <v>129</v>
      </c>
      <c r="B21" s="5" t="s">
        <v>130</v>
      </c>
    </row>
    <row r="22" spans="1:2" ht="42.95" customHeight="1">
      <c r="A22" s="15" t="s">
        <v>131</v>
      </c>
      <c r="B22" s="5" t="s">
        <v>132</v>
      </c>
    </row>
    <row r="23" spans="1:2" ht="42.95" customHeight="1">
      <c r="A23" s="15" t="s">
        <v>133</v>
      </c>
      <c r="B23" s="5" t="s">
        <v>134</v>
      </c>
    </row>
    <row r="24" spans="1:2" ht="42.95" customHeight="1">
      <c r="A24" s="15" t="s">
        <v>135</v>
      </c>
      <c r="B24" s="5" t="s">
        <v>136</v>
      </c>
    </row>
    <row r="25" spans="1:2" ht="42.95" customHeight="1">
      <c r="A25" s="15" t="s">
        <v>137</v>
      </c>
      <c r="B25" s="5" t="s">
        <v>138</v>
      </c>
    </row>
    <row r="26" spans="1:2" ht="42.95" customHeight="1">
      <c r="A26" s="15" t="s">
        <v>139</v>
      </c>
      <c r="B26" s="5" t="s">
        <v>140</v>
      </c>
    </row>
    <row r="27" spans="1:2" ht="42.95" customHeight="1">
      <c r="A27" s="15" t="s">
        <v>141</v>
      </c>
      <c r="B27" s="5" t="s">
        <v>142</v>
      </c>
    </row>
    <row r="28" spans="1:2" ht="42.95" customHeight="1">
      <c r="A28" s="15" t="s">
        <v>143</v>
      </c>
      <c r="B28" s="5" t="s">
        <v>144</v>
      </c>
    </row>
    <row r="29" spans="1:2" ht="42.95" customHeight="1">
      <c r="A29" s="15" t="s">
        <v>145</v>
      </c>
      <c r="B29" s="5" t="s">
        <v>146</v>
      </c>
    </row>
    <row r="30" spans="1:2" ht="42.95" customHeight="1">
      <c r="A30" s="15" t="s">
        <v>147</v>
      </c>
      <c r="B30" s="5" t="s">
        <v>148</v>
      </c>
    </row>
    <row r="31" spans="1:2" ht="42.95" customHeight="1">
      <c r="A31" s="15" t="s">
        <v>149</v>
      </c>
      <c r="B31" s="5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AEC5-A059-429E-8A77-E3F97EFD1EA1}">
  <sheetPr>
    <tabColor rgb="FFFFFF00"/>
  </sheetPr>
  <dimension ref="A1:V68"/>
  <sheetViews>
    <sheetView tabSelected="1" topLeftCell="A38" workbookViewId="0">
      <selection activeCell="B50" sqref="B50"/>
    </sheetView>
  </sheetViews>
  <sheetFormatPr defaultRowHeight="14.65"/>
  <cols>
    <col min="1" max="1" width="7.42578125" customWidth="1"/>
    <col min="2" max="2" width="60.7109375" customWidth="1"/>
    <col min="3" max="3" width="14.7109375" customWidth="1"/>
    <col min="4" max="15" width="8.7109375" customWidth="1"/>
    <col min="16" max="16" width="10.5703125" customWidth="1"/>
    <col min="17" max="17" width="11.5703125" customWidth="1"/>
    <col min="18" max="18" width="18.7109375" customWidth="1"/>
    <col min="19" max="19" width="18.85546875" customWidth="1"/>
  </cols>
  <sheetData>
    <row r="1" spans="1:19" ht="15" customHeight="1">
      <c r="A1" s="62" t="s">
        <v>151</v>
      </c>
      <c r="B1" s="75" t="s">
        <v>152</v>
      </c>
      <c r="C1" s="75" t="s">
        <v>153</v>
      </c>
      <c r="D1" s="69" t="s">
        <v>154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  <c r="P1" s="78" t="s">
        <v>155</v>
      </c>
      <c r="Q1" s="79"/>
      <c r="R1" s="79"/>
      <c r="S1" s="80"/>
    </row>
    <row r="2" spans="1:19" ht="83.65" customHeight="1">
      <c r="A2" s="63"/>
      <c r="B2" s="76"/>
      <c r="C2" s="76"/>
      <c r="D2" s="72"/>
      <c r="E2" s="73"/>
      <c r="F2" s="73"/>
      <c r="G2" s="73"/>
      <c r="H2" s="73"/>
      <c r="I2" s="73"/>
      <c r="J2" s="73"/>
      <c r="K2" s="73"/>
      <c r="L2" s="73"/>
      <c r="M2" s="73"/>
      <c r="N2" s="73"/>
      <c r="O2" s="74"/>
      <c r="P2" s="37" t="s">
        <v>156</v>
      </c>
      <c r="Q2" s="34" t="s">
        <v>157</v>
      </c>
      <c r="R2" s="35" t="s">
        <v>158</v>
      </c>
      <c r="S2" s="36" t="s">
        <v>159</v>
      </c>
    </row>
    <row r="3" spans="1:19" ht="15.4" customHeight="1">
      <c r="A3" s="64"/>
      <c r="B3" s="77"/>
      <c r="C3" s="77"/>
      <c r="D3" s="43" t="s">
        <v>160</v>
      </c>
      <c r="E3" s="43" t="s">
        <v>161</v>
      </c>
      <c r="F3" s="43" t="s">
        <v>162</v>
      </c>
      <c r="G3" s="43" t="s">
        <v>163</v>
      </c>
      <c r="H3" s="43" t="s">
        <v>164</v>
      </c>
      <c r="I3" s="43" t="s">
        <v>165</v>
      </c>
      <c r="J3" s="43" t="s">
        <v>166</v>
      </c>
      <c r="K3" s="43" t="s">
        <v>167</v>
      </c>
      <c r="L3" s="43" t="s">
        <v>168</v>
      </c>
      <c r="M3" s="43" t="s">
        <v>169</v>
      </c>
      <c r="N3" s="43" t="s">
        <v>170</v>
      </c>
      <c r="O3" s="43" t="s">
        <v>171</v>
      </c>
      <c r="P3" s="81" t="s">
        <v>172</v>
      </c>
      <c r="Q3" s="82"/>
      <c r="R3" s="82"/>
      <c r="S3" s="83"/>
    </row>
    <row r="4" spans="1:19" ht="14.65" customHeight="1">
      <c r="A4" s="7">
        <v>1</v>
      </c>
      <c r="B4" s="3" t="s">
        <v>91</v>
      </c>
      <c r="C4" s="3" t="s">
        <v>173</v>
      </c>
      <c r="D4" s="3">
        <v>21149</v>
      </c>
      <c r="E4" s="3">
        <v>10584</v>
      </c>
      <c r="F4" s="3">
        <v>16105</v>
      </c>
      <c r="G4" s="3">
        <v>12434</v>
      </c>
      <c r="H4" s="3">
        <v>9437</v>
      </c>
      <c r="I4" s="3">
        <v>17530</v>
      </c>
      <c r="J4" s="3">
        <v>18518</v>
      </c>
      <c r="K4" s="3">
        <v>14710</v>
      </c>
      <c r="L4" s="3">
        <v>16256</v>
      </c>
      <c r="M4" s="3">
        <v>14395</v>
      </c>
      <c r="N4" s="3">
        <v>18663</v>
      </c>
      <c r="O4" s="3">
        <v>13144</v>
      </c>
      <c r="P4" s="44"/>
      <c r="Q4" s="13">
        <v>15052.101881500501</v>
      </c>
      <c r="R4" s="13">
        <v>14795.3060689996</v>
      </c>
      <c r="S4" s="13">
        <v>17011.000000000498</v>
      </c>
    </row>
    <row r="5" spans="1:19" ht="14.65" customHeight="1">
      <c r="A5" s="7">
        <v>2</v>
      </c>
      <c r="B5" s="3" t="s">
        <v>93</v>
      </c>
      <c r="C5" s="3" t="s">
        <v>173</v>
      </c>
      <c r="D5" s="3">
        <v>30498</v>
      </c>
      <c r="E5" s="3">
        <v>40505</v>
      </c>
      <c r="F5" s="3">
        <v>61214</v>
      </c>
      <c r="G5" s="3">
        <v>41932</v>
      </c>
      <c r="H5" s="3">
        <v>59424</v>
      </c>
      <c r="I5" s="3">
        <v>60073</v>
      </c>
      <c r="J5" s="3">
        <v>66952</v>
      </c>
      <c r="K5" s="3">
        <v>57131</v>
      </c>
      <c r="L5" s="3">
        <v>78096</v>
      </c>
      <c r="M5" s="3">
        <v>87843</v>
      </c>
      <c r="N5" s="3">
        <v>71494</v>
      </c>
      <c r="O5" s="3">
        <v>58318</v>
      </c>
      <c r="P5" s="44"/>
      <c r="Q5" s="13">
        <v>79000.000000000204</v>
      </c>
      <c r="R5" s="13">
        <v>66274.815709999806</v>
      </c>
      <c r="S5" s="13">
        <v>79114.000000000102</v>
      </c>
    </row>
    <row r="6" spans="1:19" ht="14.65" customHeight="1">
      <c r="A6" s="32">
        <v>3</v>
      </c>
      <c r="B6" s="3" t="s">
        <v>95</v>
      </c>
      <c r="C6" s="3" t="s">
        <v>173</v>
      </c>
      <c r="D6" s="3">
        <v>4680</v>
      </c>
      <c r="E6" s="3">
        <v>4397</v>
      </c>
      <c r="F6" s="3">
        <v>5065</v>
      </c>
      <c r="G6" s="3">
        <v>4092</v>
      </c>
      <c r="H6" s="3">
        <v>4573</v>
      </c>
      <c r="I6" s="3">
        <v>5449</v>
      </c>
      <c r="J6" s="3">
        <v>5801</v>
      </c>
      <c r="K6" s="3">
        <v>4868</v>
      </c>
      <c r="L6" s="3">
        <v>5659</v>
      </c>
      <c r="M6" s="3">
        <v>5701</v>
      </c>
      <c r="N6" s="3">
        <v>6784</v>
      </c>
      <c r="O6" s="3">
        <v>6346</v>
      </c>
      <c r="P6" s="44"/>
      <c r="Q6" s="13">
        <v>6620.9626049259005</v>
      </c>
      <c r="R6" s="13">
        <v>6739.9076169998998</v>
      </c>
      <c r="S6" s="13">
        <v>7861.0000000003001</v>
      </c>
    </row>
    <row r="7" spans="1:19" ht="14.65" customHeight="1">
      <c r="A7" s="32">
        <v>4</v>
      </c>
      <c r="B7" s="3" t="s">
        <v>97</v>
      </c>
      <c r="C7" s="3" t="s">
        <v>173</v>
      </c>
      <c r="D7" s="3">
        <v>10927</v>
      </c>
      <c r="E7" s="3">
        <v>8358</v>
      </c>
      <c r="F7" s="3">
        <v>11681</v>
      </c>
      <c r="G7" s="3">
        <v>10461</v>
      </c>
      <c r="H7" s="3">
        <v>9704</v>
      </c>
      <c r="I7" s="3">
        <v>11345</v>
      </c>
      <c r="J7" s="3">
        <v>9946</v>
      </c>
      <c r="K7" s="3">
        <v>8461</v>
      </c>
      <c r="L7" s="3">
        <v>8436</v>
      </c>
      <c r="M7" s="3">
        <v>9436</v>
      </c>
      <c r="N7" s="3">
        <v>10338</v>
      </c>
      <c r="O7" s="3">
        <v>8433</v>
      </c>
      <c r="P7" s="44"/>
      <c r="Q7" s="13">
        <v>9200.4381182005</v>
      </c>
      <c r="R7" s="13">
        <v>10383.999801</v>
      </c>
      <c r="S7" s="13">
        <v>9788.9999999994998</v>
      </c>
    </row>
    <row r="8" spans="1:19" ht="14.65" customHeight="1">
      <c r="A8" s="32">
        <v>5</v>
      </c>
      <c r="B8" s="3" t="s">
        <v>99</v>
      </c>
      <c r="C8" s="3" t="s">
        <v>173</v>
      </c>
      <c r="D8" s="3">
        <v>84349</v>
      </c>
      <c r="E8" s="3">
        <v>67670</v>
      </c>
      <c r="F8" s="3">
        <v>55237</v>
      </c>
      <c r="G8" s="3">
        <v>53599</v>
      </c>
      <c r="H8" s="3">
        <v>53108</v>
      </c>
      <c r="I8" s="3">
        <v>51781</v>
      </c>
      <c r="J8" s="3">
        <v>59560</v>
      </c>
      <c r="K8" s="3">
        <v>53245</v>
      </c>
      <c r="L8" s="3">
        <v>60281</v>
      </c>
      <c r="M8" s="3">
        <v>53710</v>
      </c>
      <c r="N8" s="3">
        <v>41524</v>
      </c>
      <c r="O8" s="3">
        <v>43188</v>
      </c>
      <c r="P8" s="44"/>
      <c r="Q8" s="13">
        <v>35587.999999999804</v>
      </c>
      <c r="R8" s="13">
        <v>44460.246720000199</v>
      </c>
      <c r="S8" s="13">
        <v>49531.999999999003</v>
      </c>
    </row>
    <row r="9" spans="1:19" ht="14.65" customHeight="1">
      <c r="A9" s="32">
        <v>6</v>
      </c>
      <c r="B9" s="3" t="s">
        <v>101</v>
      </c>
      <c r="C9" s="3" t="s">
        <v>174</v>
      </c>
      <c r="D9" s="3"/>
      <c r="E9" s="3"/>
      <c r="F9" s="3"/>
      <c r="G9" s="3"/>
      <c r="H9" s="3"/>
      <c r="I9" s="3"/>
      <c r="J9" s="3">
        <v>305</v>
      </c>
      <c r="K9" s="3">
        <v>116</v>
      </c>
      <c r="L9" s="3">
        <v>555</v>
      </c>
      <c r="M9" s="3">
        <v>735</v>
      </c>
      <c r="N9" s="3">
        <v>1226</v>
      </c>
      <c r="O9" s="3">
        <v>705</v>
      </c>
      <c r="P9" s="44"/>
      <c r="Q9" s="13">
        <v>1040.8</v>
      </c>
      <c r="R9" s="13">
        <v>624.00000000010004</v>
      </c>
      <c r="S9" s="13">
        <v>461.00000000030002</v>
      </c>
    </row>
    <row r="10" spans="1:19" ht="14.65" customHeight="1">
      <c r="A10" s="32">
        <v>7</v>
      </c>
      <c r="B10" s="3" t="s">
        <v>103</v>
      </c>
      <c r="C10" s="3" t="s">
        <v>173</v>
      </c>
      <c r="D10" s="3">
        <v>1714</v>
      </c>
      <c r="E10" s="3">
        <v>1755</v>
      </c>
      <c r="F10" s="3">
        <v>2466</v>
      </c>
      <c r="G10" s="3">
        <v>3770</v>
      </c>
      <c r="H10" s="3">
        <v>1646</v>
      </c>
      <c r="I10" s="3">
        <v>1719</v>
      </c>
      <c r="J10" s="3">
        <v>2929</v>
      </c>
      <c r="K10" s="3">
        <v>2911</v>
      </c>
      <c r="L10" s="3">
        <v>2196</v>
      </c>
      <c r="M10" s="3">
        <v>2093</v>
      </c>
      <c r="N10" s="3">
        <v>2513</v>
      </c>
      <c r="O10" s="3">
        <v>3035</v>
      </c>
      <c r="P10" s="44"/>
      <c r="Q10" s="13">
        <v>2007.7193700178</v>
      </c>
      <c r="R10" s="13">
        <v>2329.1903534004</v>
      </c>
      <c r="S10" s="13">
        <v>1968.0000000005</v>
      </c>
    </row>
    <row r="11" spans="1:19" ht="14.65" customHeight="1">
      <c r="A11" s="32">
        <v>8</v>
      </c>
      <c r="B11" s="3" t="s">
        <v>105</v>
      </c>
      <c r="C11" s="3" t="s">
        <v>173</v>
      </c>
      <c r="D11" s="3">
        <v>1979</v>
      </c>
      <c r="E11" s="3">
        <v>1986</v>
      </c>
      <c r="F11" s="3">
        <v>2422</v>
      </c>
      <c r="G11" s="3">
        <v>2269</v>
      </c>
      <c r="H11" s="3">
        <v>2232</v>
      </c>
      <c r="I11" s="3">
        <v>2015</v>
      </c>
      <c r="J11" s="3">
        <v>3007</v>
      </c>
      <c r="K11" s="3">
        <v>2751</v>
      </c>
      <c r="L11" s="3">
        <v>3018</v>
      </c>
      <c r="M11" s="3">
        <v>2865</v>
      </c>
      <c r="N11" s="3">
        <v>3832</v>
      </c>
      <c r="O11" s="3">
        <v>3136</v>
      </c>
      <c r="P11" s="44"/>
      <c r="Q11" s="13">
        <v>3035.0406514271999</v>
      </c>
      <c r="R11" s="13">
        <v>3362.0419000001002</v>
      </c>
      <c r="S11" s="13">
        <v>2868.0000000001</v>
      </c>
    </row>
    <row r="12" spans="1:19" ht="14.65" customHeight="1">
      <c r="A12" s="32">
        <v>9</v>
      </c>
      <c r="B12" s="3" t="s">
        <v>107</v>
      </c>
      <c r="C12" s="3" t="s">
        <v>173</v>
      </c>
      <c r="D12" s="3">
        <v>3434</v>
      </c>
      <c r="E12" s="3">
        <v>2864</v>
      </c>
      <c r="F12" s="3">
        <v>2689</v>
      </c>
      <c r="G12" s="3">
        <v>4614</v>
      </c>
      <c r="H12" s="3">
        <v>1517</v>
      </c>
      <c r="I12" s="3">
        <v>2026</v>
      </c>
      <c r="J12" s="3">
        <v>2214</v>
      </c>
      <c r="K12" s="3">
        <v>3645</v>
      </c>
      <c r="L12" s="3">
        <v>2309</v>
      </c>
      <c r="M12" s="3">
        <v>2160</v>
      </c>
      <c r="N12" s="3">
        <v>2963</v>
      </c>
      <c r="O12" s="3">
        <v>3302</v>
      </c>
      <c r="P12" s="44"/>
      <c r="Q12" s="13">
        <v>2754.8987971000001</v>
      </c>
      <c r="R12" s="13">
        <v>2894.3413724999</v>
      </c>
      <c r="S12" s="13">
        <v>2463.0000000002001</v>
      </c>
    </row>
    <row r="13" spans="1:19" ht="14.65" customHeight="1">
      <c r="A13" s="32">
        <v>10</v>
      </c>
      <c r="B13" s="3" t="s">
        <v>109</v>
      </c>
      <c r="C13" s="3" t="s">
        <v>175</v>
      </c>
      <c r="D13" s="3">
        <v>391</v>
      </c>
      <c r="E13" s="3">
        <v>440</v>
      </c>
      <c r="F13" s="3">
        <v>440</v>
      </c>
      <c r="G13" s="3">
        <v>352</v>
      </c>
      <c r="H13" s="3">
        <v>378</v>
      </c>
      <c r="I13" s="3">
        <v>494</v>
      </c>
      <c r="J13" s="3">
        <v>517</v>
      </c>
      <c r="K13" s="3">
        <v>503</v>
      </c>
      <c r="L13" s="3">
        <v>545</v>
      </c>
      <c r="M13" s="3">
        <v>858</v>
      </c>
      <c r="N13" s="3">
        <v>532</v>
      </c>
      <c r="O13" s="3">
        <v>530</v>
      </c>
      <c r="P13" s="44"/>
      <c r="Q13" s="13">
        <v>430.99999999980002</v>
      </c>
      <c r="R13" s="13">
        <v>349.9999999899</v>
      </c>
      <c r="S13" s="13">
        <v>732.00000000019998</v>
      </c>
    </row>
    <row r="14" spans="1:19" ht="14.65" customHeight="1">
      <c r="A14" s="32">
        <v>11</v>
      </c>
      <c r="B14" s="60" t="s">
        <v>111</v>
      </c>
      <c r="C14" s="61" t="s">
        <v>173</v>
      </c>
      <c r="D14" s="61">
        <v>151</v>
      </c>
      <c r="E14" s="61">
        <v>258</v>
      </c>
      <c r="F14" s="61">
        <v>444</v>
      </c>
      <c r="G14" s="61">
        <v>176</v>
      </c>
      <c r="H14" s="61">
        <v>241</v>
      </c>
      <c r="I14" s="61">
        <v>232</v>
      </c>
      <c r="J14" s="61">
        <v>257</v>
      </c>
      <c r="K14" s="61">
        <v>164</v>
      </c>
      <c r="L14" s="61">
        <v>235</v>
      </c>
      <c r="M14" s="61">
        <v>307</v>
      </c>
      <c r="N14" s="61">
        <v>332</v>
      </c>
      <c r="O14" s="61">
        <v>252</v>
      </c>
      <c r="P14" s="44"/>
      <c r="Q14" s="13">
        <v>309.99938000089998</v>
      </c>
      <c r="R14" s="13">
        <v>321.46800000029998</v>
      </c>
      <c r="S14" s="13">
        <v>252</v>
      </c>
    </row>
    <row r="15" spans="1:19" ht="14.65" customHeight="1">
      <c r="A15" s="32">
        <v>12</v>
      </c>
      <c r="B15" s="3" t="s">
        <v>113</v>
      </c>
      <c r="C15" s="3" t="s">
        <v>173</v>
      </c>
      <c r="D15" s="3">
        <v>4688</v>
      </c>
      <c r="E15" s="3">
        <v>4199</v>
      </c>
      <c r="F15" s="3">
        <v>5345</v>
      </c>
      <c r="G15" s="3">
        <v>4919</v>
      </c>
      <c r="H15" s="3">
        <v>5033</v>
      </c>
      <c r="I15" s="3">
        <v>4391</v>
      </c>
      <c r="J15" s="3">
        <v>5388</v>
      </c>
      <c r="K15" s="3">
        <v>4170</v>
      </c>
      <c r="L15" s="3">
        <v>5164</v>
      </c>
      <c r="M15" s="3">
        <v>4771</v>
      </c>
      <c r="N15" s="3">
        <v>4356</v>
      </c>
      <c r="O15" s="3">
        <v>3882</v>
      </c>
      <c r="P15" s="44"/>
      <c r="Q15" s="13">
        <v>4717</v>
      </c>
      <c r="R15" s="13">
        <v>4934.4824850001996</v>
      </c>
      <c r="S15" s="13">
        <v>4940.0000000001</v>
      </c>
    </row>
    <row r="16" spans="1:19" ht="14.65" customHeight="1">
      <c r="A16" s="32">
        <v>13</v>
      </c>
      <c r="B16" s="3" t="s">
        <v>115</v>
      </c>
      <c r="C16" s="3" t="s">
        <v>173</v>
      </c>
      <c r="D16" s="3">
        <v>496</v>
      </c>
      <c r="E16" s="3">
        <v>384</v>
      </c>
      <c r="F16" s="3">
        <v>528</v>
      </c>
      <c r="G16" s="3">
        <v>471</v>
      </c>
      <c r="H16" s="3">
        <v>526</v>
      </c>
      <c r="I16" s="3">
        <v>715</v>
      </c>
      <c r="J16" s="3">
        <v>713</v>
      </c>
      <c r="K16" s="3">
        <v>929</v>
      </c>
      <c r="L16" s="3">
        <v>645</v>
      </c>
      <c r="M16" s="3">
        <v>562</v>
      </c>
      <c r="N16" s="3">
        <v>718</v>
      </c>
      <c r="O16" s="3">
        <v>546</v>
      </c>
      <c r="P16" s="44"/>
      <c r="Q16" s="13">
        <v>699.99859578819996</v>
      </c>
      <c r="R16" s="13">
        <v>1215.0918129997999</v>
      </c>
      <c r="S16" s="13">
        <v>562.99999999989996</v>
      </c>
    </row>
    <row r="17" spans="1:19" ht="14.65" customHeight="1">
      <c r="A17" s="32">
        <v>14</v>
      </c>
      <c r="B17" s="3" t="s">
        <v>117</v>
      </c>
      <c r="C17" s="3" t="s">
        <v>173</v>
      </c>
      <c r="D17" s="3"/>
      <c r="E17" s="3"/>
      <c r="F17" s="3"/>
      <c r="G17" s="3"/>
      <c r="H17" s="3">
        <v>500</v>
      </c>
      <c r="I17" s="3">
        <v>522</v>
      </c>
      <c r="J17" s="3">
        <v>2219</v>
      </c>
      <c r="K17" s="3">
        <v>3191</v>
      </c>
      <c r="L17" s="3">
        <v>5183</v>
      </c>
      <c r="M17" s="3">
        <v>3711</v>
      </c>
      <c r="N17" s="3">
        <v>7719</v>
      </c>
      <c r="O17" s="3">
        <v>5730</v>
      </c>
      <c r="P17" s="44"/>
      <c r="Q17" s="13">
        <v>6389.9999999997999</v>
      </c>
      <c r="R17" s="13">
        <v>5927.1514880001996</v>
      </c>
      <c r="S17" s="13">
        <v>9905.0000000005002</v>
      </c>
    </row>
    <row r="18" spans="1:19" ht="14.65" customHeight="1">
      <c r="A18" s="32">
        <v>15</v>
      </c>
      <c r="B18" s="59" t="s">
        <v>119</v>
      </c>
      <c r="C18" s="61" t="s">
        <v>173</v>
      </c>
      <c r="D18" s="61">
        <v>223</v>
      </c>
      <c r="E18" s="61">
        <v>241</v>
      </c>
      <c r="F18" s="61">
        <v>286</v>
      </c>
      <c r="G18" s="61">
        <v>195</v>
      </c>
      <c r="H18" s="61">
        <v>177</v>
      </c>
      <c r="I18" s="61">
        <v>315</v>
      </c>
      <c r="J18" s="61">
        <v>323</v>
      </c>
      <c r="K18" s="61">
        <v>157</v>
      </c>
      <c r="L18" s="61">
        <v>313</v>
      </c>
      <c r="M18" s="61">
        <v>355</v>
      </c>
      <c r="N18" s="61">
        <v>349</v>
      </c>
      <c r="O18" s="61">
        <v>326</v>
      </c>
      <c r="P18" s="44"/>
      <c r="Q18" s="13">
        <v>319.99936000119999</v>
      </c>
      <c r="R18" s="13">
        <v>323.04734254009998</v>
      </c>
      <c r="S18" s="13">
        <v>265</v>
      </c>
    </row>
    <row r="19" spans="1:19" ht="14.65" customHeight="1">
      <c r="A19" s="32">
        <v>16</v>
      </c>
      <c r="B19" s="3" t="s">
        <v>121</v>
      </c>
      <c r="C19" s="3" t="s">
        <v>173</v>
      </c>
      <c r="D19" s="3">
        <v>1375</v>
      </c>
      <c r="E19" s="3">
        <v>2589</v>
      </c>
      <c r="F19" s="3">
        <v>1641</v>
      </c>
      <c r="G19" s="3">
        <v>1164</v>
      </c>
      <c r="H19" s="3">
        <v>1104</v>
      </c>
      <c r="I19" s="3">
        <v>1343</v>
      </c>
      <c r="J19" s="3">
        <v>2007</v>
      </c>
      <c r="K19" s="3">
        <v>1493</v>
      </c>
      <c r="L19" s="3">
        <v>2218</v>
      </c>
      <c r="M19" s="3">
        <v>2888</v>
      </c>
      <c r="N19" s="3">
        <v>1773</v>
      </c>
      <c r="O19" s="3">
        <v>1723</v>
      </c>
      <c r="P19" s="44"/>
      <c r="Q19" s="13">
        <v>1935.4273073012</v>
      </c>
      <c r="R19" s="13">
        <v>2357.7433145999998</v>
      </c>
      <c r="S19" s="13">
        <v>2945.0000000004002</v>
      </c>
    </row>
    <row r="20" spans="1:19" ht="14.65" customHeight="1">
      <c r="A20" s="32">
        <v>17</v>
      </c>
      <c r="B20" s="3" t="s">
        <v>123</v>
      </c>
      <c r="C20" s="3" t="s">
        <v>173</v>
      </c>
      <c r="D20" s="3">
        <v>443</v>
      </c>
      <c r="E20" s="3">
        <v>517</v>
      </c>
      <c r="F20" s="3">
        <v>608</v>
      </c>
      <c r="G20" s="3">
        <v>641</v>
      </c>
      <c r="H20" s="3">
        <v>669</v>
      </c>
      <c r="I20" s="3">
        <v>825</v>
      </c>
      <c r="J20" s="3">
        <v>1044</v>
      </c>
      <c r="K20" s="3">
        <v>889</v>
      </c>
      <c r="L20" s="3">
        <v>1221</v>
      </c>
      <c r="M20" s="3">
        <v>1921</v>
      </c>
      <c r="N20" s="3">
        <v>1424</v>
      </c>
      <c r="O20" s="3">
        <v>1652</v>
      </c>
      <c r="P20" s="44"/>
      <c r="Q20" s="13">
        <v>1564.0000000002999</v>
      </c>
      <c r="R20" s="13">
        <v>843.1944599999</v>
      </c>
      <c r="S20" s="13">
        <v>1714.9999999997999</v>
      </c>
    </row>
    <row r="21" spans="1:19" ht="14.65" customHeight="1">
      <c r="A21" s="32">
        <v>18</v>
      </c>
      <c r="B21" s="3" t="s">
        <v>125</v>
      </c>
      <c r="C21" s="3" t="s">
        <v>173</v>
      </c>
      <c r="D21" s="3"/>
      <c r="E21" s="3"/>
      <c r="F21" s="3">
        <v>88</v>
      </c>
      <c r="G21" s="3">
        <v>324</v>
      </c>
      <c r="H21" s="3">
        <v>658</v>
      </c>
      <c r="I21" s="3">
        <v>628</v>
      </c>
      <c r="J21" s="3">
        <v>856</v>
      </c>
      <c r="K21" s="3">
        <v>731</v>
      </c>
      <c r="L21" s="3">
        <v>807</v>
      </c>
      <c r="M21" s="3">
        <v>716</v>
      </c>
      <c r="N21" s="3">
        <v>1247</v>
      </c>
      <c r="O21" s="3">
        <v>715</v>
      </c>
      <c r="P21" s="44"/>
      <c r="Q21" s="13">
        <v>815.00000000030002</v>
      </c>
      <c r="R21" s="13">
        <v>758.28030010019995</v>
      </c>
      <c r="S21" s="13">
        <v>1014.0000000002</v>
      </c>
    </row>
    <row r="22" spans="1:19" ht="14.65" customHeight="1">
      <c r="A22" s="32">
        <v>19</v>
      </c>
      <c r="B22" s="3" t="s">
        <v>127</v>
      </c>
      <c r="C22" s="3" t="s">
        <v>173</v>
      </c>
      <c r="D22" s="3">
        <v>15951</v>
      </c>
      <c r="E22" s="3">
        <v>10691</v>
      </c>
      <c r="F22" s="3">
        <v>9108</v>
      </c>
      <c r="G22" s="3">
        <v>7817</v>
      </c>
      <c r="H22" s="3">
        <v>8642</v>
      </c>
      <c r="I22" s="3">
        <v>8753</v>
      </c>
      <c r="J22" s="3">
        <v>8870</v>
      </c>
      <c r="K22" s="3">
        <v>6977</v>
      </c>
      <c r="L22" s="3">
        <v>8155</v>
      </c>
      <c r="M22" s="3">
        <v>9919</v>
      </c>
      <c r="N22" s="3">
        <v>9535</v>
      </c>
      <c r="O22" s="3">
        <v>7261</v>
      </c>
      <c r="P22" s="44"/>
      <c r="Q22" s="13">
        <v>7008.9999999995998</v>
      </c>
      <c r="R22" s="13">
        <v>3399.9487067994</v>
      </c>
      <c r="S22" s="13">
        <v>9958.0000000001</v>
      </c>
    </row>
    <row r="23" spans="1:19" ht="14.65" customHeight="1">
      <c r="A23" s="32">
        <v>20</v>
      </c>
      <c r="B23" s="3" t="s">
        <v>129</v>
      </c>
      <c r="C23" s="3" t="s">
        <v>175</v>
      </c>
      <c r="D23" s="3">
        <v>127</v>
      </c>
      <c r="E23" s="3">
        <v>195</v>
      </c>
      <c r="F23" s="3">
        <v>175</v>
      </c>
      <c r="G23" s="3">
        <v>147</v>
      </c>
      <c r="H23" s="3">
        <v>218</v>
      </c>
      <c r="I23" s="3">
        <v>361</v>
      </c>
      <c r="J23" s="3">
        <v>450</v>
      </c>
      <c r="K23" s="3">
        <v>577</v>
      </c>
      <c r="L23" s="3">
        <v>508</v>
      </c>
      <c r="M23" s="3">
        <v>525</v>
      </c>
      <c r="N23" s="3">
        <v>441</v>
      </c>
      <c r="O23" s="3">
        <v>506</v>
      </c>
      <c r="P23" s="44"/>
      <c r="Q23" s="13">
        <v>400.00000000009999</v>
      </c>
      <c r="R23" s="13">
        <v>303.3121199903</v>
      </c>
      <c r="S23" s="13">
        <v>494.00000000009999</v>
      </c>
    </row>
    <row r="24" spans="1:19" ht="14.65" customHeight="1">
      <c r="A24" s="32">
        <v>21</v>
      </c>
      <c r="B24" s="3" t="s">
        <v>131</v>
      </c>
      <c r="C24" s="3" t="s">
        <v>173</v>
      </c>
      <c r="D24" s="3">
        <v>115</v>
      </c>
      <c r="E24" s="3">
        <v>87</v>
      </c>
      <c r="F24" s="3">
        <v>81</v>
      </c>
      <c r="G24" s="3">
        <v>74</v>
      </c>
      <c r="H24" s="3">
        <v>137</v>
      </c>
      <c r="I24" s="3">
        <v>100</v>
      </c>
      <c r="J24" s="3">
        <v>174</v>
      </c>
      <c r="K24" s="3">
        <v>108</v>
      </c>
      <c r="L24" s="3">
        <v>225</v>
      </c>
      <c r="M24" s="3">
        <v>199</v>
      </c>
      <c r="N24" s="3">
        <v>225</v>
      </c>
      <c r="O24" s="3">
        <v>208</v>
      </c>
      <c r="P24" s="44"/>
      <c r="Q24" s="13">
        <v>219.24813218739999</v>
      </c>
      <c r="R24" s="13">
        <v>151.23783262980001</v>
      </c>
      <c r="S24" s="13">
        <v>306.99999999980002</v>
      </c>
    </row>
    <row r="25" spans="1:19" ht="14.65" customHeight="1">
      <c r="A25" s="32">
        <v>22</v>
      </c>
      <c r="B25" s="3" t="s">
        <v>133</v>
      </c>
      <c r="C25" s="3" t="s">
        <v>175</v>
      </c>
      <c r="D25" s="3">
        <v>32314</v>
      </c>
      <c r="E25" s="3">
        <v>43403</v>
      </c>
      <c r="F25" s="3">
        <v>41773</v>
      </c>
      <c r="G25" s="3">
        <v>28746</v>
      </c>
      <c r="H25" s="3">
        <v>40155</v>
      </c>
      <c r="I25" s="3">
        <v>33754</v>
      </c>
      <c r="J25" s="3">
        <v>24936</v>
      </c>
      <c r="K25" s="3">
        <v>30180</v>
      </c>
      <c r="L25" s="3">
        <v>24413</v>
      </c>
      <c r="M25" s="3">
        <v>21567</v>
      </c>
      <c r="N25" s="3">
        <v>18955</v>
      </c>
      <c r="O25" s="3">
        <v>13465</v>
      </c>
      <c r="P25" s="44"/>
      <c r="Q25" s="13">
        <v>9259.9999999997999</v>
      </c>
      <c r="R25" s="13">
        <v>8703.0476148233993</v>
      </c>
      <c r="S25" s="13">
        <v>20294.9999999996</v>
      </c>
    </row>
    <row r="26" spans="1:19" ht="14.65" customHeight="1">
      <c r="A26" s="32">
        <v>23</v>
      </c>
      <c r="B26" s="3" t="s">
        <v>135</v>
      </c>
      <c r="C26" s="3" t="s">
        <v>175</v>
      </c>
      <c r="D26" s="3">
        <v>4486</v>
      </c>
      <c r="E26" s="3">
        <v>10420</v>
      </c>
      <c r="F26" s="3">
        <v>11120</v>
      </c>
      <c r="G26" s="3">
        <v>3007</v>
      </c>
      <c r="H26" s="3">
        <v>5776</v>
      </c>
      <c r="I26" s="3">
        <v>8541</v>
      </c>
      <c r="J26" s="3">
        <v>7271</v>
      </c>
      <c r="K26" s="3">
        <v>8430</v>
      </c>
      <c r="L26" s="3">
        <v>7874</v>
      </c>
      <c r="M26" s="3">
        <v>7845</v>
      </c>
      <c r="N26" s="3">
        <v>6185</v>
      </c>
      <c r="O26" s="3">
        <v>6821</v>
      </c>
      <c r="P26" s="44"/>
      <c r="Q26" s="13">
        <v>6410.9999999999</v>
      </c>
      <c r="R26" s="13">
        <v>4200.0000000001</v>
      </c>
      <c r="S26" s="13">
        <v>6766.9999999999</v>
      </c>
    </row>
    <row r="27" spans="1:19" ht="14.65" customHeight="1">
      <c r="A27" s="32">
        <v>24</v>
      </c>
      <c r="B27" s="3" t="s">
        <v>137</v>
      </c>
      <c r="C27" s="3" t="s">
        <v>173</v>
      </c>
      <c r="D27" s="3">
        <v>1727</v>
      </c>
      <c r="E27" s="3">
        <v>2453</v>
      </c>
      <c r="F27" s="3">
        <v>2212</v>
      </c>
      <c r="G27" s="3">
        <v>1229</v>
      </c>
      <c r="H27" s="3">
        <v>2323</v>
      </c>
      <c r="I27" s="3">
        <v>2029</v>
      </c>
      <c r="J27" s="3">
        <v>2474</v>
      </c>
      <c r="K27" s="3">
        <v>2580</v>
      </c>
      <c r="L27" s="3">
        <v>2824</v>
      </c>
      <c r="M27" s="3">
        <v>2575</v>
      </c>
      <c r="N27" s="3">
        <v>2967</v>
      </c>
      <c r="O27" s="3">
        <v>2165</v>
      </c>
      <c r="P27" s="44"/>
      <c r="Q27" s="13">
        <v>3123.0000000002001</v>
      </c>
      <c r="R27" s="13">
        <v>2499</v>
      </c>
      <c r="S27" s="13">
        <v>2323</v>
      </c>
    </row>
    <row r="28" spans="1:19" ht="14.65" customHeight="1">
      <c r="A28" s="32">
        <v>25</v>
      </c>
      <c r="B28" s="3" t="s">
        <v>139</v>
      </c>
      <c r="C28" s="3" t="s">
        <v>175</v>
      </c>
      <c r="D28" s="3">
        <v>5124</v>
      </c>
      <c r="E28" s="3">
        <v>3486</v>
      </c>
      <c r="F28" s="3">
        <v>4128</v>
      </c>
      <c r="G28" s="3">
        <v>5786</v>
      </c>
      <c r="H28" s="3">
        <v>4866</v>
      </c>
      <c r="I28" s="3">
        <v>4039</v>
      </c>
      <c r="J28" s="3">
        <v>3277</v>
      </c>
      <c r="K28" s="3">
        <v>7708</v>
      </c>
      <c r="L28" s="3">
        <v>4828</v>
      </c>
      <c r="M28" s="3">
        <v>3853</v>
      </c>
      <c r="N28" s="3">
        <v>4516</v>
      </c>
      <c r="O28" s="3">
        <v>3747</v>
      </c>
      <c r="P28" s="44"/>
      <c r="Q28" s="13">
        <v>3871.9999999999</v>
      </c>
      <c r="R28" s="13">
        <v>4243.8746115274998</v>
      </c>
      <c r="S28" s="13">
        <v>4009.0000000004002</v>
      </c>
    </row>
    <row r="29" spans="1:19" ht="14.65" customHeight="1">
      <c r="A29" s="32">
        <v>26</v>
      </c>
      <c r="B29" s="3" t="s">
        <v>141</v>
      </c>
      <c r="C29" s="3" t="s">
        <v>173</v>
      </c>
      <c r="D29" s="3">
        <v>790</v>
      </c>
      <c r="E29" s="3">
        <v>786</v>
      </c>
      <c r="F29" s="3">
        <v>1220</v>
      </c>
      <c r="G29" s="3">
        <v>1361</v>
      </c>
      <c r="H29" s="3">
        <v>1136</v>
      </c>
      <c r="I29" s="3">
        <v>1183</v>
      </c>
      <c r="J29" s="3">
        <v>1537</v>
      </c>
      <c r="K29" s="3">
        <v>1301</v>
      </c>
      <c r="L29" s="3">
        <v>1917</v>
      </c>
      <c r="M29" s="3">
        <v>1357</v>
      </c>
      <c r="N29" s="3">
        <v>1969</v>
      </c>
      <c r="O29" s="3">
        <v>1919</v>
      </c>
      <c r="P29" s="44"/>
      <c r="Q29" s="13">
        <v>1575</v>
      </c>
      <c r="R29" s="13">
        <v>1574.9999999999</v>
      </c>
      <c r="S29" s="13">
        <v>1495</v>
      </c>
    </row>
    <row r="30" spans="1:19" ht="14.65" customHeight="1">
      <c r="A30" s="32">
        <v>27</v>
      </c>
      <c r="B30" s="3" t="s">
        <v>143</v>
      </c>
      <c r="C30" s="3" t="s">
        <v>173</v>
      </c>
      <c r="D30" s="3"/>
      <c r="E30" s="3"/>
      <c r="F30" s="3">
        <v>502</v>
      </c>
      <c r="G30" s="3">
        <v>277</v>
      </c>
      <c r="H30" s="3">
        <v>736</v>
      </c>
      <c r="I30" s="3">
        <v>960</v>
      </c>
      <c r="J30" s="3">
        <v>1480</v>
      </c>
      <c r="K30" s="3">
        <v>2472</v>
      </c>
      <c r="L30" s="3">
        <v>1881</v>
      </c>
      <c r="M30" s="3">
        <v>1921</v>
      </c>
      <c r="N30" s="3">
        <v>2864</v>
      </c>
      <c r="O30" s="3">
        <v>2240</v>
      </c>
      <c r="P30" s="44"/>
      <c r="Q30" s="13">
        <v>2221</v>
      </c>
      <c r="R30" s="13">
        <v>2244.0000000001</v>
      </c>
      <c r="S30" s="13">
        <v>1782</v>
      </c>
    </row>
    <row r="31" spans="1:19" ht="14.65" customHeight="1">
      <c r="A31" s="32">
        <v>28</v>
      </c>
      <c r="B31" s="3" t="s">
        <v>145</v>
      </c>
      <c r="C31" s="3" t="s">
        <v>175</v>
      </c>
      <c r="D31" s="3">
        <v>672</v>
      </c>
      <c r="E31" s="3">
        <v>758</v>
      </c>
      <c r="F31" s="3">
        <v>534</v>
      </c>
      <c r="G31" s="3">
        <v>597</v>
      </c>
      <c r="H31" s="3">
        <v>1459</v>
      </c>
      <c r="I31" s="3">
        <v>1874</v>
      </c>
      <c r="J31" s="3">
        <v>2058</v>
      </c>
      <c r="K31" s="3">
        <v>1184</v>
      </c>
      <c r="L31" s="3">
        <v>1939</v>
      </c>
      <c r="M31" s="3">
        <v>580</v>
      </c>
      <c r="N31" s="3">
        <v>827</v>
      </c>
      <c r="O31" s="3">
        <v>943</v>
      </c>
      <c r="P31" s="44"/>
      <c r="Q31" s="13">
        <v>700</v>
      </c>
      <c r="R31" s="13">
        <v>199.9999999998</v>
      </c>
      <c r="S31" s="13">
        <v>456</v>
      </c>
    </row>
    <row r="32" spans="1:19" ht="14.65" customHeight="1">
      <c r="A32" s="32">
        <v>29</v>
      </c>
      <c r="B32" s="3" t="s">
        <v>147</v>
      </c>
      <c r="C32" s="3" t="s">
        <v>173</v>
      </c>
      <c r="D32" s="3"/>
      <c r="E32" s="3"/>
      <c r="F32" s="3">
        <v>1</v>
      </c>
      <c r="G32" s="3">
        <v>48</v>
      </c>
      <c r="H32" s="3">
        <v>57</v>
      </c>
      <c r="I32" s="3">
        <v>115</v>
      </c>
      <c r="J32" s="3">
        <v>155</v>
      </c>
      <c r="K32" s="3">
        <v>270</v>
      </c>
      <c r="L32" s="3">
        <v>305</v>
      </c>
      <c r="M32" s="3">
        <v>445</v>
      </c>
      <c r="N32" s="3">
        <v>646</v>
      </c>
      <c r="O32" s="3">
        <v>301</v>
      </c>
      <c r="P32" s="44"/>
      <c r="Q32" s="13">
        <v>422.99999999990001</v>
      </c>
      <c r="R32" s="13">
        <v>366.00000000009999</v>
      </c>
      <c r="S32" s="13">
        <v>474</v>
      </c>
    </row>
    <row r="33" spans="1:22" ht="14.65" customHeight="1">
      <c r="A33" s="32">
        <v>30</v>
      </c>
      <c r="B33" s="3" t="s">
        <v>149</v>
      </c>
      <c r="C33" s="3" t="s">
        <v>173</v>
      </c>
      <c r="D33" s="3">
        <v>1259</v>
      </c>
      <c r="E33" s="3">
        <v>1013</v>
      </c>
      <c r="F33" s="3">
        <v>381</v>
      </c>
      <c r="G33" s="3">
        <v>2364</v>
      </c>
      <c r="H33" s="3">
        <v>974</v>
      </c>
      <c r="I33" s="3">
        <v>1278</v>
      </c>
      <c r="J33" s="3">
        <v>841</v>
      </c>
      <c r="K33" s="3">
        <v>1026</v>
      </c>
      <c r="L33" s="3">
        <v>1337</v>
      </c>
      <c r="M33" s="3">
        <v>1634</v>
      </c>
      <c r="N33" s="3">
        <v>2092</v>
      </c>
      <c r="O33" s="3">
        <v>1208</v>
      </c>
      <c r="P33" s="44"/>
      <c r="Q33" s="13">
        <v>1273.0000000002001</v>
      </c>
      <c r="R33" s="13">
        <v>3699.9999999996999</v>
      </c>
      <c r="S33" s="13">
        <v>1722.0000000005</v>
      </c>
    </row>
    <row r="36" spans="1:22">
      <c r="A36" s="65" t="s">
        <v>151</v>
      </c>
      <c r="B36" s="84" t="s">
        <v>152</v>
      </c>
      <c r="C36" s="87" t="s">
        <v>176</v>
      </c>
      <c r="D36" s="87"/>
      <c r="E36" s="87"/>
      <c r="F36" s="87"/>
      <c r="G36" s="87"/>
      <c r="H36" s="87"/>
      <c r="I36" s="39"/>
      <c r="J36" s="88" t="s">
        <v>177</v>
      </c>
      <c r="K36" s="88"/>
      <c r="L36" s="88"/>
      <c r="M36" s="88"/>
      <c r="N36" s="88"/>
      <c r="O36" s="88"/>
      <c r="P36" s="39"/>
      <c r="Q36" s="89" t="s">
        <v>178</v>
      </c>
      <c r="R36" s="89"/>
      <c r="S36" s="89"/>
      <c r="T36" s="89"/>
      <c r="U36" s="89"/>
      <c r="V36" s="89"/>
    </row>
    <row r="37" spans="1:22">
      <c r="A37" s="66"/>
      <c r="B37" s="85"/>
      <c r="C37" s="68" t="s">
        <v>179</v>
      </c>
      <c r="D37" s="68"/>
      <c r="E37" s="68" t="s">
        <v>180</v>
      </c>
      <c r="F37" s="68"/>
      <c r="G37" s="68" t="s">
        <v>181</v>
      </c>
      <c r="H37" s="68"/>
      <c r="I37" s="39"/>
      <c r="J37" s="68" t="s">
        <v>179</v>
      </c>
      <c r="K37" s="68"/>
      <c r="L37" s="68" t="s">
        <v>180</v>
      </c>
      <c r="M37" s="68"/>
      <c r="N37" s="68" t="s">
        <v>181</v>
      </c>
      <c r="O37" s="68"/>
      <c r="P37" s="39"/>
      <c r="Q37" s="68" t="s">
        <v>179</v>
      </c>
      <c r="R37" s="68"/>
      <c r="S37" s="68" t="s">
        <v>180</v>
      </c>
      <c r="T37" s="68"/>
      <c r="U37" s="68" t="s">
        <v>181</v>
      </c>
      <c r="V37" s="68"/>
    </row>
    <row r="38" spans="1:22" ht="25.7" customHeight="1">
      <c r="A38" s="67"/>
      <c r="B38" s="86"/>
      <c r="C38" s="45" t="s">
        <v>8</v>
      </c>
      <c r="D38" s="45" t="s">
        <v>32</v>
      </c>
      <c r="E38" s="45" t="s">
        <v>8</v>
      </c>
      <c r="F38" s="45" t="s">
        <v>32</v>
      </c>
      <c r="G38" s="45" t="s">
        <v>8</v>
      </c>
      <c r="H38" s="45" t="s">
        <v>32</v>
      </c>
      <c r="I38" s="40"/>
      <c r="J38" s="45" t="s">
        <v>8</v>
      </c>
      <c r="K38" s="45" t="s">
        <v>32</v>
      </c>
      <c r="L38" s="45" t="s">
        <v>8</v>
      </c>
      <c r="M38" s="45" t="s">
        <v>32</v>
      </c>
      <c r="N38" s="45" t="s">
        <v>8</v>
      </c>
      <c r="O38" s="45" t="s">
        <v>32</v>
      </c>
      <c r="P38" s="40"/>
      <c r="Q38" s="45" t="s">
        <v>8</v>
      </c>
      <c r="R38" s="45" t="s">
        <v>32</v>
      </c>
      <c r="S38" s="45" t="s">
        <v>8</v>
      </c>
      <c r="T38" s="45" t="s">
        <v>32</v>
      </c>
      <c r="U38" s="45" t="s">
        <v>8</v>
      </c>
      <c r="V38" s="45" t="s">
        <v>32</v>
      </c>
    </row>
    <row r="39" spans="1:22">
      <c r="A39" s="7">
        <v>1</v>
      </c>
      <c r="B39" s="38" t="s">
        <v>91</v>
      </c>
      <c r="C39" s="41">
        <v>0.81941335951810002</v>
      </c>
      <c r="D39" s="41">
        <v>0.18058664048190001</v>
      </c>
      <c r="E39" s="41">
        <v>0.965696833065397</v>
      </c>
      <c r="F39" s="41">
        <v>-3.4303166934603301E-2</v>
      </c>
      <c r="G39" s="41">
        <v>0.78356606472599499</v>
      </c>
      <c r="H39" s="41">
        <v>0.21643393527400501</v>
      </c>
      <c r="I39" s="42"/>
      <c r="J39" s="41">
        <v>0.934768978469256</v>
      </c>
      <c r="K39" s="41">
        <v>6.5231021530744102E-2</v>
      </c>
      <c r="L39" s="41">
        <v>0.97266628591333104</v>
      </c>
      <c r="M39" s="41">
        <v>2.7333714086668699E-2</v>
      </c>
      <c r="N39" s="41">
        <v>0.99303935199723503</v>
      </c>
      <c r="O39" s="41">
        <v>6.96064800276477E-3</v>
      </c>
      <c r="P39" s="42"/>
      <c r="Q39" s="41">
        <v>0.86001217285444298</v>
      </c>
      <c r="R39" s="41">
        <v>0.13998782714555699</v>
      </c>
      <c r="S39" s="41">
        <v>0.97551304720565801</v>
      </c>
      <c r="T39" s="41">
        <v>-2.44869527943418E-2</v>
      </c>
      <c r="U39" s="41">
        <v>0.83459534560610604</v>
      </c>
      <c r="V39" s="41">
        <v>0.16540465439389401</v>
      </c>
    </row>
    <row r="40" spans="1:22">
      <c r="A40" s="7">
        <v>2</v>
      </c>
      <c r="B40" s="38" t="s">
        <v>93</v>
      </c>
      <c r="C40" s="41">
        <v>0.88538701601563796</v>
      </c>
      <c r="D40" s="41">
        <v>0.114612983984362</v>
      </c>
      <c r="E40" s="41">
        <v>0.73657929336727801</v>
      </c>
      <c r="F40" s="41">
        <v>0.26342070663272199</v>
      </c>
      <c r="G40" s="41">
        <v>0.89953667338319399</v>
      </c>
      <c r="H40" s="41">
        <v>-0.100463326616806</v>
      </c>
      <c r="I40" s="42"/>
      <c r="J40" s="41">
        <v>0.56670324771082303</v>
      </c>
      <c r="K40" s="41">
        <v>0.43329675228917702</v>
      </c>
      <c r="L40" s="41">
        <v>0.79847259909922497</v>
      </c>
      <c r="M40" s="41">
        <v>0.20152740090077501</v>
      </c>
      <c r="N40" s="41">
        <v>0.97356647655476203</v>
      </c>
      <c r="O40" s="41">
        <v>-2.64335234452375E-2</v>
      </c>
      <c r="P40" s="42"/>
      <c r="Q40" s="41">
        <v>0.93050173188380902</v>
      </c>
      <c r="R40" s="41">
        <v>6.9498268116190504E-2</v>
      </c>
      <c r="S40" s="41">
        <v>0.709835790415979</v>
      </c>
      <c r="T40" s="41">
        <v>0.290164209584021</v>
      </c>
      <c r="U40" s="41">
        <v>0.98130756007877096</v>
      </c>
      <c r="V40" s="41">
        <v>-1.8692439921228699E-2</v>
      </c>
    </row>
    <row r="41" spans="1:22">
      <c r="A41" s="32">
        <v>3</v>
      </c>
      <c r="B41" s="38" t="s">
        <v>95</v>
      </c>
      <c r="C41" s="41">
        <v>0.91395962689084398</v>
      </c>
      <c r="D41" s="41">
        <v>-8.6040373109155702E-2</v>
      </c>
      <c r="E41" s="41">
        <v>0.92865367158122103</v>
      </c>
      <c r="F41" s="41">
        <v>-7.1346328418779401E-2</v>
      </c>
      <c r="G41" s="41">
        <v>0.96509597458000396</v>
      </c>
      <c r="H41" s="41">
        <v>3.4904025419996099E-2</v>
      </c>
      <c r="I41" s="42"/>
      <c r="J41" s="41">
        <v>0.82558096218090105</v>
      </c>
      <c r="K41" s="41">
        <v>-0.17441903781909901</v>
      </c>
      <c r="L41" s="41">
        <v>0.87800566671588998</v>
      </c>
      <c r="M41" s="41">
        <v>0.12199433328411</v>
      </c>
      <c r="N41" s="41">
        <v>0.996404117347781</v>
      </c>
      <c r="O41" s="41">
        <v>3.5958826522188201E-3</v>
      </c>
      <c r="P41" s="42"/>
      <c r="Q41" s="41">
        <v>0.74897573274497298</v>
      </c>
      <c r="R41" s="41">
        <v>-0.25102426725502702</v>
      </c>
      <c r="S41" s="41">
        <v>0.93366745283015895</v>
      </c>
      <c r="T41" s="41">
        <v>-6.6332547169840994E-2</v>
      </c>
      <c r="U41" s="41">
        <v>0.97386423434490499</v>
      </c>
      <c r="V41" s="41">
        <v>-2.6135765655095601E-2</v>
      </c>
    </row>
    <row r="42" spans="1:22">
      <c r="A42" s="32">
        <v>4</v>
      </c>
      <c r="B42" s="38" t="s">
        <v>97</v>
      </c>
      <c r="C42" s="41">
        <v>0.94050460275449999</v>
      </c>
      <c r="D42" s="41">
        <v>5.9495397245499702E-2</v>
      </c>
      <c r="E42" s="41">
        <v>0.96247243224373202</v>
      </c>
      <c r="F42" s="41">
        <v>3.7527567756268303E-2</v>
      </c>
      <c r="G42" s="41">
        <v>0.95595239316045999</v>
      </c>
      <c r="H42" s="41">
        <v>4.40476068395401E-2</v>
      </c>
      <c r="I42" s="42"/>
      <c r="J42" s="41">
        <v>0.83472085793903705</v>
      </c>
      <c r="K42" s="41">
        <v>0.165279142060963</v>
      </c>
      <c r="L42" s="41">
        <v>0.69834111801120102</v>
      </c>
      <c r="M42" s="41">
        <v>0.30165888198879898</v>
      </c>
      <c r="N42" s="41">
        <v>0.88089294669343998</v>
      </c>
      <c r="O42" s="41">
        <v>0.11910705330656</v>
      </c>
      <c r="P42" s="42"/>
      <c r="Q42" s="41">
        <v>0.85568599549386903</v>
      </c>
      <c r="R42" s="41">
        <v>0.14431400450613099</v>
      </c>
      <c r="S42" s="41">
        <v>0.88518088605144096</v>
      </c>
      <c r="T42" s="41">
        <v>0.114819113948559</v>
      </c>
      <c r="U42" s="41">
        <v>0.94531581178470703</v>
      </c>
      <c r="V42" s="41">
        <v>5.4684188215292702E-2</v>
      </c>
    </row>
    <row r="43" spans="1:22">
      <c r="A43" s="32">
        <v>5</v>
      </c>
      <c r="B43" s="38" t="s">
        <v>99</v>
      </c>
      <c r="C43" s="41">
        <v>0.88149485968328201</v>
      </c>
      <c r="D43" s="41">
        <v>-0.11850514031671799</v>
      </c>
      <c r="E43" s="41">
        <v>0.78316154513051695</v>
      </c>
      <c r="F43" s="41">
        <v>0.216838454869483</v>
      </c>
      <c r="G43" s="41">
        <v>0.992366412213742</v>
      </c>
      <c r="H43" s="41">
        <v>7.6335877862577801E-3</v>
      </c>
      <c r="I43" s="42"/>
      <c r="J43" s="41">
        <v>0.893465777530837</v>
      </c>
      <c r="K43" s="41">
        <v>-0.106534222469163</v>
      </c>
      <c r="L43" s="41">
        <v>0.58089297755516101</v>
      </c>
      <c r="M43" s="41">
        <v>0.41910702244483899</v>
      </c>
      <c r="N43" s="41">
        <v>0.89568050642337305</v>
      </c>
      <c r="O43" s="41">
        <v>0.104319493576627</v>
      </c>
      <c r="P43" s="42"/>
      <c r="Q43" s="41">
        <v>0.81115124571639796</v>
      </c>
      <c r="R43" s="41">
        <v>-0.18884875428360201</v>
      </c>
      <c r="S43" s="41">
        <v>0.63575281764762104</v>
      </c>
      <c r="T43" s="41">
        <v>0.36424718235237902</v>
      </c>
      <c r="U43" s="41">
        <v>0.86447588903369199</v>
      </c>
      <c r="V43" s="41">
        <v>0.13552411096630801</v>
      </c>
    </row>
    <row r="44" spans="1:22">
      <c r="A44" s="32">
        <v>6</v>
      </c>
      <c r="B44" s="38" t="s">
        <v>101</v>
      </c>
      <c r="C44" s="41">
        <v>0.99290780141844004</v>
      </c>
      <c r="D44" s="41">
        <v>7.09219858156028E-3</v>
      </c>
      <c r="E44" s="41">
        <v>0.317292006525285</v>
      </c>
      <c r="F44" s="41">
        <v>-0.682707993474715</v>
      </c>
      <c r="G44" s="41">
        <v>0.51428571428571401</v>
      </c>
      <c r="H44" s="41">
        <v>-0.48571428571428599</v>
      </c>
      <c r="I44" s="42"/>
      <c r="J44" s="41">
        <v>0.91631205673787197</v>
      </c>
      <c r="K44" s="41">
        <v>-8.3687943262127695E-2</v>
      </c>
      <c r="L44" s="41">
        <v>0.220228384991843</v>
      </c>
      <c r="M44" s="41">
        <v>-0.77977161500815695</v>
      </c>
      <c r="N44" s="41">
        <v>0.190476190476598</v>
      </c>
      <c r="O44" s="41">
        <v>-0.80952380952340197</v>
      </c>
      <c r="P44" s="42"/>
      <c r="Q44" s="41">
        <v>0.147517730496454</v>
      </c>
      <c r="R44" s="41">
        <v>0.852482269503546</v>
      </c>
      <c r="S44" s="41">
        <v>0.65334420880913502</v>
      </c>
      <c r="T44" s="41">
        <v>-0.34665579119086498</v>
      </c>
      <c r="U44" s="41">
        <v>0.53877551020408199</v>
      </c>
      <c r="V44" s="41">
        <v>-0.46122448979591801</v>
      </c>
    </row>
    <row r="45" spans="1:22">
      <c r="A45" s="32">
        <v>7</v>
      </c>
      <c r="B45" s="38" t="s">
        <v>103</v>
      </c>
      <c r="C45" s="41">
        <v>0.85794301245733096</v>
      </c>
      <c r="D45" s="41">
        <v>-0.14205698754266899</v>
      </c>
      <c r="E45" s="41">
        <v>0.979957355064067</v>
      </c>
      <c r="F45" s="41">
        <v>-2.0042644935933201E-2</v>
      </c>
      <c r="G45" s="41">
        <v>0.88259940314400398</v>
      </c>
      <c r="H45" s="41">
        <v>0.11740059685599601</v>
      </c>
      <c r="I45" s="42"/>
      <c r="J45" s="41">
        <v>0.80977838210879705</v>
      </c>
      <c r="K45" s="41">
        <v>-0.19022161789120301</v>
      </c>
      <c r="L45" s="41">
        <v>0.98148557604456799</v>
      </c>
      <c r="M45" s="41">
        <v>1.8514423955431802E-2</v>
      </c>
      <c r="N45" s="41">
        <v>0.96123271586235104</v>
      </c>
      <c r="O45" s="41">
        <v>-3.8767284137649398E-2</v>
      </c>
      <c r="P45" s="42"/>
      <c r="Q45" s="41">
        <v>0.82899505766072501</v>
      </c>
      <c r="R45" s="41">
        <v>-0.17100494233927499</v>
      </c>
      <c r="S45" s="41">
        <v>0.96339037007556705</v>
      </c>
      <c r="T45" s="41">
        <v>-3.6609629924433E-2</v>
      </c>
      <c r="U45" s="41">
        <v>0.95078834209283303</v>
      </c>
      <c r="V45" s="41">
        <v>4.9211657907166702E-2</v>
      </c>
    </row>
    <row r="46" spans="1:22">
      <c r="A46" s="32">
        <v>8</v>
      </c>
      <c r="B46" s="38" t="s">
        <v>105</v>
      </c>
      <c r="C46" s="41">
        <v>0.98411636736361596</v>
      </c>
      <c r="D46" s="41">
        <v>-1.5883632636383899E-2</v>
      </c>
      <c r="E46" s="41">
        <v>0.88115208465279204</v>
      </c>
      <c r="F46" s="41">
        <v>-0.118847915347208</v>
      </c>
      <c r="G46" s="41">
        <v>0.97485721727741703</v>
      </c>
      <c r="H46" s="41">
        <v>2.5142782722582999E-2</v>
      </c>
      <c r="I46" s="42"/>
      <c r="J46" s="41">
        <v>0.86679498054862902</v>
      </c>
      <c r="K46" s="41">
        <v>0.133205019451371</v>
      </c>
      <c r="L46" s="41">
        <v>0.91798931263040195</v>
      </c>
      <c r="M46" s="41">
        <v>-8.2010687369598198E-2</v>
      </c>
      <c r="N46" s="41">
        <v>0.93357540321113397</v>
      </c>
      <c r="O46" s="41">
        <v>6.64245967888656E-2</v>
      </c>
      <c r="P46" s="42"/>
      <c r="Q46" s="41">
        <v>0.82334183673463002</v>
      </c>
      <c r="R46" s="41">
        <v>0.17665816326537001</v>
      </c>
      <c r="S46" s="41">
        <v>0.950417536534369</v>
      </c>
      <c r="T46" s="41">
        <v>4.9582463465631603E-2</v>
      </c>
      <c r="U46" s="41">
        <v>0.94659685863870902</v>
      </c>
      <c r="V46" s="41">
        <v>5.3403141361291498E-2</v>
      </c>
    </row>
    <row r="47" spans="1:22">
      <c r="A47" s="32">
        <v>9</v>
      </c>
      <c r="B47" s="38" t="s">
        <v>107</v>
      </c>
      <c r="C47" s="41">
        <v>0.91517790142074495</v>
      </c>
      <c r="D47" s="41">
        <v>-8.4822098579254795E-2</v>
      </c>
      <c r="E47" s="41">
        <v>0.97249927666513702</v>
      </c>
      <c r="F47" s="41">
        <v>-2.7500723334863302E-2</v>
      </c>
      <c r="G47" s="41">
        <v>0.64222727065324103</v>
      </c>
      <c r="H47" s="41">
        <v>0.35777272934675902</v>
      </c>
      <c r="I47" s="42"/>
      <c r="J47" s="41">
        <v>0.82950705814609305</v>
      </c>
      <c r="K47" s="41">
        <v>-0.17049294185390701</v>
      </c>
      <c r="L47" s="41">
        <v>0.73413572345592304</v>
      </c>
      <c r="M47" s="41">
        <v>0.26586427654407702</v>
      </c>
      <c r="N47" s="41">
        <v>0.63732937041652804</v>
      </c>
      <c r="O47" s="41">
        <v>0.36267062958347202</v>
      </c>
      <c r="P47" s="42"/>
      <c r="Q47" s="41">
        <v>0.67534827377356099</v>
      </c>
      <c r="R47" s="41">
        <v>-0.32465172622643901</v>
      </c>
      <c r="S47" s="41">
        <v>0.77252784340195801</v>
      </c>
      <c r="T47" s="41">
        <v>-0.22747215659804301</v>
      </c>
      <c r="U47" s="41">
        <v>0.76898148148120404</v>
      </c>
      <c r="V47" s="41">
        <v>0.23101851851879601</v>
      </c>
    </row>
    <row r="48" spans="1:22">
      <c r="A48" s="32">
        <v>10</v>
      </c>
      <c r="B48" s="38" t="s">
        <v>109</v>
      </c>
      <c r="C48" s="41">
        <v>0.94339622641547205</v>
      </c>
      <c r="D48" s="41">
        <v>-5.6603773584528297E-2</v>
      </c>
      <c r="E48" s="41">
        <v>0.90037593987405995</v>
      </c>
      <c r="F48" s="41">
        <v>9.9624060125939898E-2</v>
      </c>
      <c r="G48" s="41">
        <v>0.58974414685314702</v>
      </c>
      <c r="H48" s="41">
        <v>-0.41025585314685298</v>
      </c>
      <c r="I48" s="42"/>
      <c r="J48" s="41">
        <v>0.84905660373528302</v>
      </c>
      <c r="K48" s="41">
        <v>-0.15094339626471701</v>
      </c>
      <c r="L48" s="41">
        <v>0.97744360909755601</v>
      </c>
      <c r="M48" s="41">
        <v>-2.25563909024439E-2</v>
      </c>
      <c r="N48" s="41">
        <v>0.58974358974347296</v>
      </c>
      <c r="O48" s="41">
        <v>-0.41025641025652698</v>
      </c>
      <c r="P48" s="42"/>
      <c r="Q48" s="41">
        <v>0.82641509434037796</v>
      </c>
      <c r="R48" s="41">
        <v>-0.17358490565962301</v>
      </c>
      <c r="S48" s="41">
        <v>0.19924812030112801</v>
      </c>
      <c r="T48" s="41">
        <v>0.80075187969887196</v>
      </c>
      <c r="U48" s="41">
        <v>0.57925407925407901</v>
      </c>
      <c r="V48" s="41">
        <v>-0.42074592074592099</v>
      </c>
    </row>
    <row r="49" spans="1:22">
      <c r="A49" s="32">
        <v>11</v>
      </c>
      <c r="B49" s="38" t="s">
        <v>111</v>
      </c>
      <c r="C49" s="41">
        <v>0.90873234126547597</v>
      </c>
      <c r="D49" s="41">
        <v>9.1267658734523804E-2</v>
      </c>
      <c r="E49" s="41">
        <v>0.96385542168674698</v>
      </c>
      <c r="F49" s="41">
        <v>-3.6144578313252997E-2</v>
      </c>
      <c r="G49" s="41">
        <v>0.781758957654072</v>
      </c>
      <c r="H49" s="41">
        <v>-0.218241042345928</v>
      </c>
      <c r="I49" s="42"/>
      <c r="J49" s="41">
        <v>0.64588077198372995</v>
      </c>
      <c r="K49" s="41">
        <v>-0.35411922801626999</v>
      </c>
      <c r="L49" s="41">
        <v>0.72014967370512095</v>
      </c>
      <c r="M49" s="41">
        <v>-0.27985032629487899</v>
      </c>
      <c r="N49" s="41">
        <v>0.68863125820846904</v>
      </c>
      <c r="O49" s="41">
        <v>-0.31136874179153101</v>
      </c>
      <c r="P49" s="42"/>
      <c r="Q49" s="41">
        <v>0.93650793650872999</v>
      </c>
      <c r="R49" s="41">
        <v>-6.3492063491269804E-2</v>
      </c>
      <c r="S49" s="41">
        <v>0.83734939759036098</v>
      </c>
      <c r="T49" s="41">
        <v>-0.16265060240963899</v>
      </c>
      <c r="U49" s="41">
        <v>0.76872964169348501</v>
      </c>
      <c r="V49" s="41">
        <v>-0.23127035830651499</v>
      </c>
    </row>
    <row r="50" spans="1:22">
      <c r="A50" s="32">
        <v>12</v>
      </c>
      <c r="B50" s="38" t="s">
        <v>113</v>
      </c>
      <c r="C50" s="41">
        <v>0.99072642967560498</v>
      </c>
      <c r="D50" s="41">
        <v>-9.2735703243946796E-3</v>
      </c>
      <c r="E50" s="41">
        <v>0.96923783287435705</v>
      </c>
      <c r="F50" s="41">
        <v>3.0762167125642701E-2</v>
      </c>
      <c r="G50" s="41">
        <v>0.93355690630886601</v>
      </c>
      <c r="H50" s="41">
        <v>-6.6443093691134006E-2</v>
      </c>
      <c r="I50" s="42"/>
      <c r="J50" s="41">
        <v>0.81710458526519802</v>
      </c>
      <c r="K50" s="41">
        <v>0.182895414734802</v>
      </c>
      <c r="L50" s="41">
        <v>0.93939393939403104</v>
      </c>
      <c r="M50" s="41">
        <v>6.0606060605968702E-2</v>
      </c>
      <c r="N50" s="41">
        <v>0.74701320477878896</v>
      </c>
      <c r="O50" s="41">
        <v>-0.25298679522121198</v>
      </c>
      <c r="P50" s="42"/>
      <c r="Q50" s="41">
        <v>0.88923235445667204</v>
      </c>
      <c r="R50" s="41">
        <v>-0.11076764554332801</v>
      </c>
      <c r="S50" s="41">
        <v>0.77662993572086803</v>
      </c>
      <c r="T50" s="41">
        <v>0.223370064279132</v>
      </c>
      <c r="U50" s="41">
        <v>0.96436805701110895</v>
      </c>
      <c r="V50" s="41">
        <v>-3.5631942988891198E-2</v>
      </c>
    </row>
    <row r="51" spans="1:22">
      <c r="A51" s="32">
        <v>13</v>
      </c>
      <c r="B51" s="38" t="s">
        <v>115</v>
      </c>
      <c r="C51" s="41">
        <v>0.75458125482197802</v>
      </c>
      <c r="D51" s="41">
        <v>0.24541874517802201</v>
      </c>
      <c r="E51" s="41">
        <v>0.99164548702089095</v>
      </c>
      <c r="F51" s="41">
        <v>8.35451297910891E-3</v>
      </c>
      <c r="G51" s="41">
        <v>0.66548314259181496</v>
      </c>
      <c r="H51" s="41">
        <v>0.33451685740818499</v>
      </c>
      <c r="I51" s="42"/>
      <c r="J51" s="41">
        <v>0.28439391813223402</v>
      </c>
      <c r="K51" s="41">
        <v>0.71560608186776598</v>
      </c>
      <c r="L51" s="41">
        <v>0</v>
      </c>
      <c r="M51" s="41">
        <v>1.1004089972139299</v>
      </c>
      <c r="N51" s="41">
        <v>8.5741090037544695E-2</v>
      </c>
      <c r="O51" s="41">
        <v>0.91425890996245496</v>
      </c>
      <c r="P51" s="42"/>
      <c r="Q51" s="41">
        <v>0.74542124542161203</v>
      </c>
      <c r="R51" s="41">
        <v>0.25457875457838802</v>
      </c>
      <c r="S51" s="41">
        <v>0.80083565459512496</v>
      </c>
      <c r="T51" s="41">
        <v>-0.19916434540487499</v>
      </c>
      <c r="U51" s="41">
        <v>0.46085409252562298</v>
      </c>
      <c r="V51" s="41">
        <v>0.53914590747437696</v>
      </c>
    </row>
    <row r="52" spans="1:22">
      <c r="A52" s="32">
        <v>14</v>
      </c>
      <c r="B52" s="38" t="s">
        <v>117</v>
      </c>
      <c r="C52" s="41">
        <v>0.81326352530551504</v>
      </c>
      <c r="D52" s="41">
        <v>0.18673647469448501</v>
      </c>
      <c r="E52" s="41">
        <v>0.76268333903413699</v>
      </c>
      <c r="F52" s="41">
        <v>-0.23731666096586301</v>
      </c>
      <c r="G52" s="41">
        <v>0.37537052007545102</v>
      </c>
      <c r="H52" s="41">
        <v>0.62462947992454898</v>
      </c>
      <c r="I52" s="42"/>
      <c r="J52" s="41">
        <v>0.96265270506108203</v>
      </c>
      <c r="K52" s="41">
        <v>-3.7347294938918002E-2</v>
      </c>
      <c r="L52" s="41">
        <v>0.59010234486335</v>
      </c>
      <c r="M52" s="41">
        <v>-0.40989765513665</v>
      </c>
      <c r="N52" s="41">
        <v>0.85987604419312902</v>
      </c>
      <c r="O52" s="41">
        <v>-0.14012395580687101</v>
      </c>
      <c r="P52" s="42"/>
      <c r="Q52" s="41">
        <v>0.95130890052357797</v>
      </c>
      <c r="R52" s="41">
        <v>-4.8691099476422299E-2</v>
      </c>
      <c r="S52" s="41">
        <v>0</v>
      </c>
      <c r="T52" s="41">
        <v>0</v>
      </c>
      <c r="U52" s="41">
        <v>0</v>
      </c>
      <c r="V52" s="41">
        <v>0</v>
      </c>
    </row>
    <row r="53" spans="1:22">
      <c r="A53" s="32">
        <v>15</v>
      </c>
      <c r="B53" s="38" t="s">
        <v>119</v>
      </c>
      <c r="C53" s="41">
        <v>0.73619484662914103</v>
      </c>
      <c r="D53" s="41">
        <v>-0.26380515337085902</v>
      </c>
      <c r="E53" s="41">
        <v>0.97421203438395398</v>
      </c>
      <c r="F53" s="41">
        <v>2.5787965616045801E-2</v>
      </c>
      <c r="G53" s="41">
        <v>0.87323943661971803</v>
      </c>
      <c r="H53" s="41">
        <v>-0.12676056338028199</v>
      </c>
      <c r="I53" s="42"/>
      <c r="J53" s="41">
        <v>0.687882834355522</v>
      </c>
      <c r="K53" s="41">
        <v>-0.312117165644478</v>
      </c>
      <c r="L53" s="41">
        <v>0.94387525535845296</v>
      </c>
      <c r="M53" s="41">
        <v>-5.6124744641547201E-2</v>
      </c>
      <c r="N53" s="41">
        <v>0.48386044921098598</v>
      </c>
      <c r="O53" s="41">
        <v>-0.51613955078901397</v>
      </c>
      <c r="P53" s="42"/>
      <c r="Q53" s="41">
        <v>0.84049079754631895</v>
      </c>
      <c r="R53" s="41">
        <v>-0.159509202453681</v>
      </c>
      <c r="S53" s="41">
        <v>0.94269340974212001</v>
      </c>
      <c r="T53" s="41">
        <v>-5.7306590257879701E-2</v>
      </c>
      <c r="U53" s="41">
        <v>0.86478873239380305</v>
      </c>
      <c r="V53" s="41">
        <v>-0.13521126760619701</v>
      </c>
    </row>
    <row r="54" spans="1:22">
      <c r="A54" s="32">
        <v>16</v>
      </c>
      <c r="B54" s="38" t="s">
        <v>121</v>
      </c>
      <c r="C54" s="41">
        <v>0.92925675393470697</v>
      </c>
      <c r="D54" s="41">
        <v>7.0743246065292906E-2</v>
      </c>
      <c r="E54" s="41">
        <v>0.61059631484111698</v>
      </c>
      <c r="F54" s="41">
        <v>0.38940368515888302</v>
      </c>
      <c r="G54" s="41">
        <v>0.69833156840436295</v>
      </c>
      <c r="H54" s="41">
        <v>-0.301668431595637</v>
      </c>
      <c r="I54" s="42"/>
      <c r="J54" s="41">
        <v>0.87503448195014499</v>
      </c>
      <c r="K54" s="41">
        <v>0.12496551804985501</v>
      </c>
      <c r="L54" s="41">
        <v>0.85067948319221698</v>
      </c>
      <c r="M54" s="41">
        <v>0.14932051680778299</v>
      </c>
      <c r="N54" s="41">
        <v>0.51481095518545705</v>
      </c>
      <c r="O54" s="41">
        <v>-0.485189044814543</v>
      </c>
      <c r="P54" s="42"/>
      <c r="Q54" s="41">
        <v>0.86535113174712697</v>
      </c>
      <c r="R54" s="41">
        <v>-0.13464886825287301</v>
      </c>
      <c r="S54" s="41">
        <v>0.71291596164675697</v>
      </c>
      <c r="T54" s="41">
        <v>0.28708403835324298</v>
      </c>
      <c r="U54" s="41">
        <v>0.58047614499442501</v>
      </c>
      <c r="V54" s="41">
        <v>-0.41952385500557499</v>
      </c>
    </row>
    <row r="55" spans="1:22">
      <c r="A55" s="32">
        <v>17</v>
      </c>
      <c r="B55" s="38" t="s">
        <v>123</v>
      </c>
      <c r="C55" s="41">
        <v>0.78860272487142802</v>
      </c>
      <c r="D55" s="41">
        <v>-0.21139727512857201</v>
      </c>
      <c r="E55" s="41">
        <v>0.56788709917970503</v>
      </c>
      <c r="F55" s="41">
        <v>0.43211290082029502</v>
      </c>
      <c r="G55" s="41">
        <v>0.69279251397428399</v>
      </c>
      <c r="H55" s="41">
        <v>-0.30720748602571601</v>
      </c>
      <c r="I55" s="42"/>
      <c r="J55" s="41">
        <v>0.42089778190635602</v>
      </c>
      <c r="K55" s="41">
        <v>-0.57910221809364404</v>
      </c>
      <c r="L55" s="41">
        <v>0.68910128173721896</v>
      </c>
      <c r="M55" s="41">
        <v>-0.31089871826278098</v>
      </c>
      <c r="N55" s="41">
        <v>0.37374575105330599</v>
      </c>
      <c r="O55" s="41">
        <v>-0.62625424894669501</v>
      </c>
      <c r="P55" s="42"/>
      <c r="Q55" s="41">
        <v>0.62143414628408</v>
      </c>
      <c r="R55" s="41">
        <v>-0.37856585371592</v>
      </c>
      <c r="S55" s="41">
        <v>0.37776593444571699</v>
      </c>
      <c r="T55" s="41">
        <v>0.62223406555428395</v>
      </c>
      <c r="U55" s="41">
        <v>0.70388786614278998</v>
      </c>
      <c r="V55" s="41">
        <v>-0.29611213385721002</v>
      </c>
    </row>
    <row r="56" spans="1:22">
      <c r="A56" s="32">
        <v>18</v>
      </c>
      <c r="B56" s="38" t="s">
        <v>125</v>
      </c>
      <c r="C56" s="41">
        <v>0.90209790209790197</v>
      </c>
      <c r="D56" s="41">
        <v>9.7902097902097904E-2</v>
      </c>
      <c r="E56" s="41">
        <v>0.65757818765036102</v>
      </c>
      <c r="F56" s="41">
        <v>-0.34242181234963898</v>
      </c>
      <c r="G56" s="41">
        <v>0.86452513966480504</v>
      </c>
      <c r="H56" s="41">
        <v>0.13547486033519601</v>
      </c>
      <c r="I56" s="42"/>
      <c r="J56" s="41">
        <v>0.988374825174546</v>
      </c>
      <c r="K56" s="41">
        <v>1.16251748254544E-2</v>
      </c>
      <c r="L56" s="41">
        <v>0.59441715316760202</v>
      </c>
      <c r="M56" s="41">
        <v>-0.40558284683239798</v>
      </c>
      <c r="N56" s="41">
        <v>0.81857413393882705</v>
      </c>
      <c r="O56" s="41">
        <v>-0.181425866061173</v>
      </c>
      <c r="P56" s="42"/>
      <c r="Q56" s="41">
        <v>0.72167832167832202</v>
      </c>
      <c r="R56" s="41">
        <v>0.27832167832167798</v>
      </c>
      <c r="S56" s="41">
        <v>0.68644747393760996</v>
      </c>
      <c r="T56" s="41">
        <v>-0.31355252606238998</v>
      </c>
      <c r="U56" s="41">
        <v>0.79189944134078205</v>
      </c>
      <c r="V56" s="41">
        <v>0.208100558659218</v>
      </c>
    </row>
    <row r="57" spans="1:22">
      <c r="A57" s="32">
        <v>19</v>
      </c>
      <c r="B57" s="38" t="s">
        <v>127</v>
      </c>
      <c r="C57" s="41">
        <v>0.99035945462072705</v>
      </c>
      <c r="D57" s="41">
        <v>9.6405453792728895E-3</v>
      </c>
      <c r="E57" s="41">
        <v>0.91976927110639795</v>
      </c>
      <c r="F57" s="41">
        <v>-8.0230728893602499E-2</v>
      </c>
      <c r="G57" s="41">
        <v>0.815303962092923</v>
      </c>
      <c r="H57" s="41">
        <v>-0.184696037907077</v>
      </c>
      <c r="I57" s="42"/>
      <c r="J57" s="41">
        <v>0.821374466326938</v>
      </c>
      <c r="K57" s="41">
        <v>-0.178625533673062</v>
      </c>
      <c r="L57" s="41">
        <v>0.90288411116946998</v>
      </c>
      <c r="M57" s="41">
        <v>-9.7115888830529601E-2</v>
      </c>
      <c r="N57" s="41">
        <v>0.94354269583621297</v>
      </c>
      <c r="O57" s="41">
        <v>-5.6457304163786699E-2</v>
      </c>
      <c r="P57" s="42"/>
      <c r="Q57" s="41">
        <v>0.99228756369592297</v>
      </c>
      <c r="R57" s="41">
        <v>7.71243630407706E-3</v>
      </c>
      <c r="S57" s="41">
        <v>0.93696906135282598</v>
      </c>
      <c r="T57" s="41">
        <v>6.3030938647173601E-2</v>
      </c>
      <c r="U57" s="41">
        <v>0.99203548744839198</v>
      </c>
      <c r="V57" s="41">
        <v>-7.9645125516080006E-3</v>
      </c>
    </row>
    <row r="58" spans="1:22">
      <c r="A58" s="32">
        <v>20</v>
      </c>
      <c r="B58" s="38" t="s">
        <v>129</v>
      </c>
      <c r="C58" s="41">
        <v>0.88932806324130498</v>
      </c>
      <c r="D58" s="41">
        <v>-0.11067193675869599</v>
      </c>
      <c r="E58" s="41">
        <v>0.70975056689342397</v>
      </c>
      <c r="F58" s="41">
        <v>0.29024943310657603</v>
      </c>
      <c r="G58" s="41">
        <v>0.952380952380952</v>
      </c>
      <c r="H58" s="41">
        <v>-4.7619047619047603E-2</v>
      </c>
      <c r="I58" s="42"/>
      <c r="J58" s="41">
        <v>0.66708616592924896</v>
      </c>
      <c r="K58" s="41">
        <v>-0.33291383407075098</v>
      </c>
      <c r="L58" s="41">
        <v>0.79941984136077104</v>
      </c>
      <c r="M58" s="41">
        <v>0.20058015863922901</v>
      </c>
      <c r="N58" s="41">
        <v>0.79741371415257101</v>
      </c>
      <c r="O58" s="41">
        <v>-0.20258628584742899</v>
      </c>
      <c r="P58" s="42"/>
      <c r="Q58" s="41">
        <v>0.94071146245059301</v>
      </c>
      <c r="R58" s="41">
        <v>5.9288537549407098E-2</v>
      </c>
      <c r="S58" s="41">
        <v>0.65759637188185904</v>
      </c>
      <c r="T58" s="41">
        <v>0.34240362811814101</v>
      </c>
      <c r="U58" s="41">
        <v>0.99619047619047596</v>
      </c>
      <c r="V58" s="41">
        <v>3.80952380952381E-3</v>
      </c>
    </row>
    <row r="59" spans="1:22">
      <c r="A59" s="32">
        <v>21</v>
      </c>
      <c r="B59" s="38" t="s">
        <v>131</v>
      </c>
      <c r="C59" s="41">
        <v>0.66985127398365396</v>
      </c>
      <c r="D59" s="41">
        <v>-0.33014872601634598</v>
      </c>
      <c r="E59" s="41">
        <v>0.91757303701199999</v>
      </c>
      <c r="F59" s="41">
        <v>8.2426962987999897E-2</v>
      </c>
      <c r="G59" s="41">
        <v>0.913684138116583</v>
      </c>
      <c r="H59" s="41">
        <v>-8.6315861883417194E-2</v>
      </c>
      <c r="I59" s="42"/>
      <c r="J59" s="41">
        <v>0.56731321235576904</v>
      </c>
      <c r="K59" s="41">
        <v>-0.43268678764423102</v>
      </c>
      <c r="L59" s="41">
        <v>0.942736463289778</v>
      </c>
      <c r="M59" s="41">
        <v>5.7263536710222301E-2</v>
      </c>
      <c r="N59" s="41">
        <v>0.819925188141709</v>
      </c>
      <c r="O59" s="41">
        <v>-0.180074811858291</v>
      </c>
      <c r="P59" s="42"/>
      <c r="Q59" s="41">
        <v>0.875</v>
      </c>
      <c r="R59" s="41">
        <v>-0.125</v>
      </c>
      <c r="S59" s="41">
        <v>0.48444444444444501</v>
      </c>
      <c r="T59" s="41">
        <v>0.51555555555555599</v>
      </c>
      <c r="U59" s="41">
        <v>0.84422110552663299</v>
      </c>
      <c r="V59" s="41">
        <v>-0.15577889447336701</v>
      </c>
    </row>
    <row r="60" spans="1:22">
      <c r="A60" s="32">
        <v>22</v>
      </c>
      <c r="B60" s="38" t="s">
        <v>133</v>
      </c>
      <c r="C60" s="41">
        <v>0.85962224730783499</v>
      </c>
      <c r="D60" s="41">
        <v>-0.14037775269216499</v>
      </c>
      <c r="E60" s="41">
        <v>0.98575573727250299</v>
      </c>
      <c r="F60" s="41">
        <v>-1.42442627274966E-2</v>
      </c>
      <c r="G60" s="41">
        <v>0.83460842954515702</v>
      </c>
      <c r="H60" s="41">
        <v>-0.16539157045484301</v>
      </c>
      <c r="I60" s="42"/>
      <c r="J60" s="41">
        <v>0.50276377910984005</v>
      </c>
      <c r="K60" s="41">
        <v>-0.49723622089016001</v>
      </c>
      <c r="L60" s="41">
        <v>0.95317893310803503</v>
      </c>
      <c r="M60" s="41">
        <v>4.6821066891965198E-2</v>
      </c>
      <c r="N60" s="41">
        <v>0.87439740867242499</v>
      </c>
      <c r="O60" s="41">
        <v>-0.12560259132757501</v>
      </c>
      <c r="P60" s="42"/>
      <c r="Q60" s="41">
        <v>0.77786854808763495</v>
      </c>
      <c r="R60" s="41">
        <v>0.222131451912365</v>
      </c>
      <c r="S60" s="41">
        <v>0.89696649960431596</v>
      </c>
      <c r="T60" s="41">
        <v>-0.103033500395685</v>
      </c>
      <c r="U60" s="41">
        <v>0.76464042286827105</v>
      </c>
      <c r="V60" s="41">
        <v>0.235359577131729</v>
      </c>
    </row>
    <row r="61" spans="1:22">
      <c r="A61" s="32">
        <v>23</v>
      </c>
      <c r="B61" s="38" t="s">
        <v>135</v>
      </c>
      <c r="C61" s="41">
        <v>0.96789327078142495</v>
      </c>
      <c r="D61" s="41">
        <v>-3.2106729218574999E-2</v>
      </c>
      <c r="E61" s="41">
        <v>0.71689571544058195</v>
      </c>
      <c r="F61" s="41">
        <v>0.283104284559418</v>
      </c>
      <c r="G61" s="41">
        <v>0.96724028043341004</v>
      </c>
      <c r="H61" s="41">
        <v>-3.2759719566590302E-2</v>
      </c>
      <c r="I61" s="42"/>
      <c r="J61" s="41">
        <v>0.51312124321948405</v>
      </c>
      <c r="K61" s="41">
        <v>-0.48687875678051601</v>
      </c>
      <c r="L61" s="41">
        <v>0.98428075133387205</v>
      </c>
      <c r="M61" s="41">
        <v>1.57192486661277E-2</v>
      </c>
      <c r="N61" s="41">
        <v>0.65729718891012101</v>
      </c>
      <c r="O61" s="41">
        <v>-0.34270281108987899</v>
      </c>
      <c r="P61" s="42"/>
      <c r="Q61" s="41">
        <v>0.94898108781700596</v>
      </c>
      <c r="R61" s="41">
        <v>-5.1018912182993599E-2</v>
      </c>
      <c r="S61" s="41">
        <v>0.73160873080035604</v>
      </c>
      <c r="T61" s="41">
        <v>0.26839126919964401</v>
      </c>
      <c r="U61" s="41">
        <v>0.74136392606757195</v>
      </c>
      <c r="V61" s="41">
        <v>-0.25863607393242799</v>
      </c>
    </row>
    <row r="62" spans="1:22">
      <c r="A62" s="32">
        <v>24</v>
      </c>
      <c r="B62" s="38" t="s">
        <v>137</v>
      </c>
      <c r="C62" s="41">
        <v>0.61293302540406402</v>
      </c>
      <c r="D62" s="41">
        <v>0.38706697459593598</v>
      </c>
      <c r="E62" s="41">
        <v>0.88776541961577304</v>
      </c>
      <c r="F62" s="41">
        <v>0.112234580384227</v>
      </c>
      <c r="G62" s="41">
        <v>0</v>
      </c>
      <c r="H62" s="41">
        <v>1.13592233009705</v>
      </c>
      <c r="I62" s="42"/>
      <c r="J62" s="41">
        <v>0.79861431870669797</v>
      </c>
      <c r="K62" s="41">
        <v>0.201385681293303</v>
      </c>
      <c r="L62" s="41">
        <v>0.95955510616784601</v>
      </c>
      <c r="M62" s="41">
        <v>4.04448938321538E-2</v>
      </c>
      <c r="N62" s="41">
        <v>0</v>
      </c>
      <c r="O62" s="41">
        <v>1.0761165048543699</v>
      </c>
      <c r="P62" s="42"/>
      <c r="Q62" s="41">
        <v>0.93672055427256296</v>
      </c>
      <c r="R62" s="41">
        <v>6.3279445727436698E-2</v>
      </c>
      <c r="S62" s="41">
        <v>0.94169194472531204</v>
      </c>
      <c r="T62" s="41">
        <v>-5.8308055274688401E-2</v>
      </c>
      <c r="U62" s="41">
        <v>0.996893203883495</v>
      </c>
      <c r="V62" s="41">
        <v>3.1067961165046798E-3</v>
      </c>
    </row>
    <row r="63" spans="1:22">
      <c r="A63" s="32">
        <v>25</v>
      </c>
      <c r="B63" s="38" t="s">
        <v>139</v>
      </c>
      <c r="C63" s="41">
        <v>0.96656280837990405</v>
      </c>
      <c r="D63" s="41">
        <v>3.3437191620096202E-2</v>
      </c>
      <c r="E63" s="41">
        <v>0.95165859309871603</v>
      </c>
      <c r="F63" s="41">
        <v>4.8341406901284099E-2</v>
      </c>
      <c r="G63" s="41">
        <v>0.95016974954474398</v>
      </c>
      <c r="H63" s="41">
        <v>4.9830250455255597E-2</v>
      </c>
      <c r="I63" s="42"/>
      <c r="J63" s="41">
        <v>0.44614015630459097</v>
      </c>
      <c r="K63" s="41">
        <v>0.55385984369540897</v>
      </c>
      <c r="L63" s="41">
        <v>0.45113760744789599</v>
      </c>
      <c r="M63" s="41">
        <v>0.54886239255210401</v>
      </c>
      <c r="N63" s="41">
        <v>0.67200784318518103</v>
      </c>
      <c r="O63" s="41">
        <v>0.32799215681481902</v>
      </c>
      <c r="P63" s="42"/>
      <c r="Q63" s="41">
        <v>0.98291966906834805</v>
      </c>
      <c r="R63" s="41">
        <v>-1.7080330931651899E-2</v>
      </c>
      <c r="S63" s="41">
        <v>0.80912311780343205</v>
      </c>
      <c r="T63" s="41">
        <v>-0.19087688219656801</v>
      </c>
      <c r="U63" s="41">
        <v>0.70620295873345396</v>
      </c>
      <c r="V63" s="41">
        <v>0.29379704126654599</v>
      </c>
    </row>
    <row r="64" spans="1:22">
      <c r="A64" s="32">
        <v>26</v>
      </c>
      <c r="B64" s="38" t="s">
        <v>141</v>
      </c>
      <c r="C64" s="41">
        <v>0.75508077123501804</v>
      </c>
      <c r="D64" s="41">
        <v>-0.24491922876498201</v>
      </c>
      <c r="E64" s="41">
        <v>0.96495683087861905</v>
      </c>
      <c r="F64" s="41">
        <v>-3.5043169121381397E-2</v>
      </c>
      <c r="G64" s="41">
        <v>0.93883566691223297</v>
      </c>
      <c r="H64" s="41">
        <v>6.1164333087767198E-2</v>
      </c>
      <c r="I64" s="42"/>
      <c r="J64" s="41">
        <v>0.75508077123501804</v>
      </c>
      <c r="K64" s="41">
        <v>-0.24491922876498201</v>
      </c>
      <c r="L64" s="41">
        <v>0.63534789233113298</v>
      </c>
      <c r="M64" s="41">
        <v>-0.36465210766886702</v>
      </c>
      <c r="N64" s="41">
        <v>0.96757553426669096</v>
      </c>
      <c r="O64" s="41">
        <v>3.2424465733308802E-2</v>
      </c>
      <c r="P64" s="42"/>
      <c r="Q64" s="41">
        <v>0.86607608129228797</v>
      </c>
      <c r="R64" s="41">
        <v>-0.133923918707712</v>
      </c>
      <c r="S64" s="41">
        <v>0.68613509395632299</v>
      </c>
      <c r="T64" s="41">
        <v>-0.31386490604367701</v>
      </c>
      <c r="U64" s="41">
        <v>0.76197494473102401</v>
      </c>
      <c r="V64" s="41">
        <v>0.23802505526897599</v>
      </c>
    </row>
    <row r="65" spans="1:22">
      <c r="A65" s="32">
        <v>27</v>
      </c>
      <c r="B65" s="38" t="s">
        <v>143</v>
      </c>
      <c r="C65" s="41">
        <v>0.99642857142861596</v>
      </c>
      <c r="D65" s="41">
        <v>-3.5714285713837101E-3</v>
      </c>
      <c r="E65" s="41">
        <v>0.716480446927374</v>
      </c>
      <c r="F65" s="41">
        <v>-0.283519553072626</v>
      </c>
      <c r="G65" s="41">
        <v>0.868297761582561</v>
      </c>
      <c r="H65" s="41">
        <v>-0.131702238417439</v>
      </c>
      <c r="I65" s="42"/>
      <c r="J65" s="41">
        <v>0.70580357142857097</v>
      </c>
      <c r="K65" s="41">
        <v>-0.29419642857142903</v>
      </c>
      <c r="L65" s="41">
        <v>0.64629888268156399</v>
      </c>
      <c r="M65" s="41">
        <v>-0.35370111731843601</v>
      </c>
      <c r="N65" s="41">
        <v>0.93232691306621496</v>
      </c>
      <c r="O65" s="41">
        <v>-6.7673086933784599E-2</v>
      </c>
      <c r="P65" s="42"/>
      <c r="Q65" s="41">
        <v>0.73080357142852703</v>
      </c>
      <c r="R65" s="41">
        <v>-0.26919642857147302</v>
      </c>
      <c r="S65" s="41">
        <v>0.68889664804469297</v>
      </c>
      <c r="T65" s="41">
        <v>-0.31110335195530697</v>
      </c>
      <c r="U65" s="41">
        <v>0.94794377928162399</v>
      </c>
      <c r="V65" s="41">
        <v>5.2056220718375998E-2</v>
      </c>
    </row>
    <row r="66" spans="1:22">
      <c r="A66" s="32">
        <v>28</v>
      </c>
      <c r="B66" s="38" t="s">
        <v>145</v>
      </c>
      <c r="C66" s="41">
        <v>0.795334040296925</v>
      </c>
      <c r="D66" s="41">
        <v>-0.204665959703075</v>
      </c>
      <c r="E66" s="41">
        <v>0.911729141475211</v>
      </c>
      <c r="F66" s="41">
        <v>8.8270858524788706E-2</v>
      </c>
      <c r="G66" s="41">
        <v>0</v>
      </c>
      <c r="H66" s="41">
        <v>1.0689655172413799</v>
      </c>
      <c r="I66" s="42"/>
      <c r="J66" s="41">
        <v>0.63626723223732795</v>
      </c>
      <c r="K66" s="41">
        <v>-0.36373276776267199</v>
      </c>
      <c r="L66" s="41">
        <v>0.72551390568319196</v>
      </c>
      <c r="M66" s="41">
        <v>-0.27448609431680798</v>
      </c>
      <c r="N66" s="41">
        <v>0.70689655172430998</v>
      </c>
      <c r="O66" s="41">
        <v>0.29310344827569002</v>
      </c>
      <c r="P66" s="42"/>
      <c r="Q66" s="41">
        <v>0.95227995758250295</v>
      </c>
      <c r="R66" s="41">
        <v>-4.7720042417497298E-2</v>
      </c>
      <c r="S66" s="41">
        <v>0.59975816203143895</v>
      </c>
      <c r="T66" s="41">
        <v>0.400241837968561</v>
      </c>
      <c r="U66" s="41">
        <v>0</v>
      </c>
      <c r="V66" s="41">
        <v>2.0862068965517202</v>
      </c>
    </row>
    <row r="67" spans="1:22">
      <c r="A67" s="32">
        <v>29</v>
      </c>
      <c r="B67" s="38" t="s">
        <v>147</v>
      </c>
      <c r="C67" s="41">
        <v>0.59468438538239199</v>
      </c>
      <c r="D67" s="41">
        <v>0.40531561461760801</v>
      </c>
      <c r="E67" s="41">
        <v>0.46439628482956702</v>
      </c>
      <c r="F67" s="41">
        <v>-0.53560371517043304</v>
      </c>
      <c r="G67" s="41">
        <v>0.67415730337078705</v>
      </c>
      <c r="H67" s="41">
        <v>-0.325842696629214</v>
      </c>
      <c r="I67" s="42"/>
      <c r="J67" s="41">
        <v>0.81727574750863796</v>
      </c>
      <c r="K67" s="41">
        <v>-0.18272425249136201</v>
      </c>
      <c r="L67" s="41">
        <v>0.71981424148606798</v>
      </c>
      <c r="M67" s="41">
        <v>-0.28018575851393202</v>
      </c>
      <c r="N67" s="41">
        <v>0.45168539325842699</v>
      </c>
      <c r="O67" s="41">
        <v>-0.54831460674157295</v>
      </c>
      <c r="P67" s="42"/>
      <c r="Q67" s="41">
        <v>0.35880398671063102</v>
      </c>
      <c r="R67" s="41">
        <v>0.64119601328936904</v>
      </c>
      <c r="S67" s="41">
        <v>0.66563467492260098</v>
      </c>
      <c r="T67" s="41">
        <v>-0.33436532507739902</v>
      </c>
      <c r="U67" s="41">
        <v>0.61797752808988804</v>
      </c>
      <c r="V67" s="41">
        <v>-0.38202247191011202</v>
      </c>
    </row>
    <row r="68" spans="1:22">
      <c r="A68" s="32">
        <v>30</v>
      </c>
      <c r="B68" s="38" t="s">
        <v>149</v>
      </c>
      <c r="C68" s="41">
        <v>0.68956953642359298</v>
      </c>
      <c r="D68" s="41">
        <v>0.31043046357640702</v>
      </c>
      <c r="E68" s="41">
        <v>0.77055449330779202</v>
      </c>
      <c r="F68" s="41">
        <v>-0.22944550669220801</v>
      </c>
      <c r="G68" s="41">
        <v>0.80783353733163998</v>
      </c>
      <c r="H68" s="41">
        <v>-0.19216646266835999</v>
      </c>
      <c r="I68" s="42"/>
      <c r="J68" s="41">
        <v>0</v>
      </c>
      <c r="K68" s="41">
        <v>2.0629139072845999</v>
      </c>
      <c r="L68" s="41">
        <v>0.80497131931161603</v>
      </c>
      <c r="M68" s="41">
        <v>0.195028680688384</v>
      </c>
      <c r="N68" s="41">
        <v>0</v>
      </c>
      <c r="O68" s="41">
        <v>1.18229518739309</v>
      </c>
      <c r="P68" s="42"/>
      <c r="Q68" s="41">
        <v>0.72350993377491701</v>
      </c>
      <c r="R68" s="41">
        <v>0.27649006622508299</v>
      </c>
      <c r="S68" s="41">
        <v>0.84847036328881398</v>
      </c>
      <c r="T68" s="41">
        <v>-0.15152963671118599</v>
      </c>
      <c r="U68" s="41">
        <v>0.36107711138292498</v>
      </c>
      <c r="V68" s="41">
        <v>0.63892288861707502</v>
      </c>
    </row>
  </sheetData>
  <mergeCells count="20">
    <mergeCell ref="J37:K37"/>
    <mergeCell ref="L37:M37"/>
    <mergeCell ref="N37:O37"/>
    <mergeCell ref="Q37:R37"/>
    <mergeCell ref="A1:A3"/>
    <mergeCell ref="A36:A38"/>
    <mergeCell ref="S37:T37"/>
    <mergeCell ref="U37:V37"/>
    <mergeCell ref="D1:O2"/>
    <mergeCell ref="C1:C3"/>
    <mergeCell ref="B1:B3"/>
    <mergeCell ref="P1:S1"/>
    <mergeCell ref="P3:S3"/>
    <mergeCell ref="B36:B38"/>
    <mergeCell ref="C36:H36"/>
    <mergeCell ref="J36:O36"/>
    <mergeCell ref="Q36:V36"/>
    <mergeCell ref="C37:D37"/>
    <mergeCell ref="E37:F37"/>
    <mergeCell ref="G37:H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2F46-4C90-468D-8D7E-D51604466099}">
  <sheetPr>
    <tabColor theme="9" tint="0.59999389629810485"/>
  </sheetPr>
  <dimension ref="A1:Z32"/>
  <sheetViews>
    <sheetView workbookViewId="0">
      <pane xSplit="2" ySplit="2" topLeftCell="C3" activePane="bottomRight" state="frozen"/>
      <selection pane="bottomRight" activeCell="B13" sqref="B13"/>
      <selection pane="bottomLeft" activeCell="A3" sqref="A3"/>
      <selection pane="topRight" activeCell="C1" sqref="C1"/>
    </sheetView>
  </sheetViews>
  <sheetFormatPr defaultRowHeight="14.65"/>
  <cols>
    <col min="2" max="2" width="47.42578125" customWidth="1"/>
    <col min="3" max="10" width="9.5703125" bestFit="1" customWidth="1"/>
  </cols>
  <sheetData>
    <row r="1" spans="1:26">
      <c r="A1" s="90" t="s">
        <v>151</v>
      </c>
      <c r="B1" s="94" t="s">
        <v>182</v>
      </c>
      <c r="C1" s="91" t="s">
        <v>183</v>
      </c>
      <c r="D1" s="91"/>
      <c r="E1" s="91"/>
      <c r="F1" s="91"/>
      <c r="G1" s="91"/>
      <c r="H1" s="91"/>
      <c r="I1" s="91"/>
      <c r="J1" s="91"/>
      <c r="K1" s="92" t="s">
        <v>184</v>
      </c>
      <c r="L1" s="92"/>
      <c r="M1" s="92"/>
      <c r="N1" s="92"/>
      <c r="O1" s="92"/>
      <c r="P1" s="92"/>
      <c r="Q1" s="92"/>
      <c r="R1" s="92"/>
      <c r="S1" s="93" t="s">
        <v>185</v>
      </c>
      <c r="T1" s="93"/>
      <c r="U1" s="93"/>
      <c r="V1" s="93"/>
      <c r="W1" s="93"/>
      <c r="X1" s="93"/>
      <c r="Y1" s="93"/>
      <c r="Z1" s="93"/>
    </row>
    <row r="2" spans="1:26">
      <c r="A2" s="90"/>
      <c r="B2" s="94"/>
      <c r="C2" s="6" t="s">
        <v>186</v>
      </c>
      <c r="D2" s="6" t="s">
        <v>187</v>
      </c>
      <c r="E2" s="6" t="s">
        <v>188</v>
      </c>
      <c r="F2" s="6" t="s">
        <v>189</v>
      </c>
      <c r="G2" s="6" t="s">
        <v>190</v>
      </c>
      <c r="H2" s="6" t="s">
        <v>191</v>
      </c>
      <c r="I2" s="6" t="s">
        <v>192</v>
      </c>
      <c r="J2" s="6" t="s">
        <v>193</v>
      </c>
      <c r="K2" s="10" t="s">
        <v>186</v>
      </c>
      <c r="L2" s="10" t="s">
        <v>187</v>
      </c>
      <c r="M2" s="10" t="s">
        <v>188</v>
      </c>
      <c r="N2" s="10" t="s">
        <v>189</v>
      </c>
      <c r="O2" s="10" t="s">
        <v>190</v>
      </c>
      <c r="P2" s="10" t="s">
        <v>191</v>
      </c>
      <c r="Q2" s="10" t="s">
        <v>192</v>
      </c>
      <c r="R2" s="10" t="s">
        <v>193</v>
      </c>
      <c r="S2" s="11" t="s">
        <v>186</v>
      </c>
      <c r="T2" s="11" t="s">
        <v>187</v>
      </c>
      <c r="U2" s="11" t="s">
        <v>188</v>
      </c>
      <c r="V2" s="11" t="s">
        <v>189</v>
      </c>
      <c r="W2" s="11" t="s">
        <v>190</v>
      </c>
      <c r="X2" s="11" t="s">
        <v>191</v>
      </c>
      <c r="Y2" s="11" t="s">
        <v>192</v>
      </c>
      <c r="Z2" s="11" t="s">
        <v>193</v>
      </c>
    </row>
    <row r="3" spans="1:26">
      <c r="A3" s="7">
        <v>1</v>
      </c>
      <c r="B3" s="12" t="s">
        <v>91</v>
      </c>
      <c r="C3" s="13">
        <v>9437</v>
      </c>
      <c r="D3" s="13">
        <v>17530</v>
      </c>
      <c r="E3" s="13">
        <v>18518</v>
      </c>
      <c r="F3" s="13">
        <v>14710</v>
      </c>
      <c r="G3" s="13">
        <v>16256</v>
      </c>
      <c r="H3" s="13">
        <v>14395</v>
      </c>
      <c r="I3" s="13">
        <v>18663</v>
      </c>
      <c r="J3" s="13">
        <v>13144</v>
      </c>
      <c r="K3" s="3">
        <v>350</v>
      </c>
      <c r="L3" s="3">
        <v>1334</v>
      </c>
      <c r="M3" s="3">
        <v>2319</v>
      </c>
      <c r="N3" s="3">
        <v>914</v>
      </c>
      <c r="O3" s="3">
        <v>1950</v>
      </c>
      <c r="P3" s="3">
        <v>902</v>
      </c>
      <c r="Q3" s="3">
        <v>742</v>
      </c>
      <c r="R3" s="3">
        <v>643</v>
      </c>
      <c r="S3" s="13">
        <v>9087</v>
      </c>
      <c r="T3" s="13">
        <v>16196</v>
      </c>
      <c r="U3" s="13">
        <v>16199</v>
      </c>
      <c r="V3" s="13">
        <v>13796</v>
      </c>
      <c r="W3" s="13">
        <v>14306</v>
      </c>
      <c r="X3" s="13">
        <v>13493</v>
      </c>
      <c r="Y3" s="13">
        <v>17921</v>
      </c>
      <c r="Z3" s="13">
        <v>12501</v>
      </c>
    </row>
    <row r="4" spans="1:26">
      <c r="A4" s="7">
        <v>2</v>
      </c>
      <c r="B4" s="12" t="s">
        <v>93</v>
      </c>
      <c r="C4" s="13">
        <v>59424</v>
      </c>
      <c r="D4" s="13">
        <v>60073</v>
      </c>
      <c r="E4" s="13">
        <v>66952</v>
      </c>
      <c r="F4" s="13">
        <v>57131</v>
      </c>
      <c r="G4" s="13">
        <v>78096</v>
      </c>
      <c r="H4" s="13">
        <v>87843</v>
      </c>
      <c r="I4" s="13">
        <v>71494</v>
      </c>
      <c r="J4" s="13">
        <v>58318</v>
      </c>
      <c r="K4" s="3">
        <v>16192</v>
      </c>
      <c r="L4" s="3">
        <v>6791</v>
      </c>
      <c r="M4" s="3">
        <v>5507</v>
      </c>
      <c r="N4" s="3">
        <v>3750</v>
      </c>
      <c r="O4" s="3">
        <v>8384</v>
      </c>
      <c r="P4" s="3">
        <v>31112</v>
      </c>
      <c r="Q4" s="3">
        <v>9042</v>
      </c>
      <c r="R4" s="3">
        <v>9937</v>
      </c>
      <c r="S4" s="13">
        <v>43232</v>
      </c>
      <c r="T4" s="13">
        <v>53282</v>
      </c>
      <c r="U4" s="13">
        <v>61445</v>
      </c>
      <c r="V4" s="13">
        <v>53381</v>
      </c>
      <c r="W4" s="13">
        <v>69712</v>
      </c>
      <c r="X4" s="13">
        <v>56731</v>
      </c>
      <c r="Y4" s="13">
        <v>62452</v>
      </c>
      <c r="Z4" s="13">
        <v>48381</v>
      </c>
    </row>
    <row r="5" spans="1:26">
      <c r="A5" s="32">
        <v>3</v>
      </c>
      <c r="B5" s="12" t="s">
        <v>95</v>
      </c>
      <c r="C5" s="13">
        <v>4573</v>
      </c>
      <c r="D5" s="13">
        <v>5449</v>
      </c>
      <c r="E5" s="13">
        <v>5801</v>
      </c>
      <c r="F5" s="13">
        <v>4868</v>
      </c>
      <c r="G5" s="13">
        <v>5659</v>
      </c>
      <c r="H5" s="13">
        <v>5701</v>
      </c>
      <c r="I5" s="13">
        <v>6784</v>
      </c>
      <c r="J5" s="13">
        <v>6346</v>
      </c>
      <c r="K5" s="3">
        <v>357</v>
      </c>
      <c r="L5" s="3">
        <v>451</v>
      </c>
      <c r="M5" s="3">
        <v>378</v>
      </c>
      <c r="N5" s="3">
        <v>136</v>
      </c>
      <c r="O5" s="3">
        <v>0</v>
      </c>
      <c r="P5" s="3">
        <v>200</v>
      </c>
      <c r="Q5" s="3">
        <v>0</v>
      </c>
      <c r="R5" s="3">
        <v>0</v>
      </c>
      <c r="S5" s="13">
        <v>4216</v>
      </c>
      <c r="T5" s="13">
        <v>4998</v>
      </c>
      <c r="U5" s="13">
        <v>5423</v>
      </c>
      <c r="V5" s="13">
        <v>4732</v>
      </c>
      <c r="W5" s="13">
        <v>5659</v>
      </c>
      <c r="X5" s="13">
        <v>5501</v>
      </c>
      <c r="Y5" s="13">
        <v>6784</v>
      </c>
      <c r="Z5" s="13">
        <v>6346</v>
      </c>
    </row>
    <row r="6" spans="1:26">
      <c r="A6" s="32">
        <v>4</v>
      </c>
      <c r="B6" s="12" t="s">
        <v>97</v>
      </c>
      <c r="C6" s="13">
        <v>9704</v>
      </c>
      <c r="D6" s="13">
        <v>11345</v>
      </c>
      <c r="E6" s="13">
        <v>9946</v>
      </c>
      <c r="F6" s="13">
        <v>8461</v>
      </c>
      <c r="G6" s="13">
        <v>8436</v>
      </c>
      <c r="H6" s="13">
        <v>9436</v>
      </c>
      <c r="I6" s="13">
        <v>10338</v>
      </c>
      <c r="J6" s="13">
        <v>8433</v>
      </c>
      <c r="K6" s="3">
        <v>800</v>
      </c>
      <c r="L6" s="3">
        <v>2558</v>
      </c>
      <c r="M6" s="3">
        <v>0</v>
      </c>
      <c r="N6" s="3">
        <v>0</v>
      </c>
      <c r="O6" s="3">
        <v>911</v>
      </c>
      <c r="P6" s="3">
        <v>1459</v>
      </c>
      <c r="Q6" s="3">
        <v>0</v>
      </c>
      <c r="R6" s="3">
        <v>335</v>
      </c>
      <c r="S6" s="13">
        <v>8904</v>
      </c>
      <c r="T6" s="13">
        <v>8787</v>
      </c>
      <c r="U6" s="13">
        <v>9946</v>
      </c>
      <c r="V6" s="13">
        <v>8461</v>
      </c>
      <c r="W6" s="13">
        <v>7525</v>
      </c>
      <c r="X6" s="13">
        <v>7977</v>
      </c>
      <c r="Y6" s="13">
        <v>10338</v>
      </c>
      <c r="Z6" s="13">
        <v>8098</v>
      </c>
    </row>
    <row r="7" spans="1:26">
      <c r="A7" s="32">
        <v>5</v>
      </c>
      <c r="B7" s="12" t="s">
        <v>99</v>
      </c>
      <c r="C7" s="13">
        <v>53108</v>
      </c>
      <c r="D7" s="13">
        <v>51781</v>
      </c>
      <c r="E7" s="13">
        <v>59560</v>
      </c>
      <c r="F7" s="13">
        <v>53245</v>
      </c>
      <c r="G7" s="13">
        <v>60281</v>
      </c>
      <c r="H7" s="13">
        <v>53710</v>
      </c>
      <c r="I7" s="13">
        <v>41524</v>
      </c>
      <c r="J7" s="13">
        <v>43188</v>
      </c>
      <c r="K7" s="3">
        <v>14871</v>
      </c>
      <c r="L7" s="3">
        <v>5872</v>
      </c>
      <c r="M7" s="3">
        <v>8789</v>
      </c>
      <c r="N7" s="3">
        <v>10896</v>
      </c>
      <c r="O7" s="3">
        <v>5581</v>
      </c>
      <c r="P7" s="3">
        <v>8547</v>
      </c>
      <c r="Q7" s="3">
        <v>7447</v>
      </c>
      <c r="R7" s="3">
        <v>7523</v>
      </c>
      <c r="S7" s="13">
        <v>38237</v>
      </c>
      <c r="T7" s="13">
        <v>45909</v>
      </c>
      <c r="U7" s="13">
        <v>50771</v>
      </c>
      <c r="V7" s="13">
        <v>42349</v>
      </c>
      <c r="W7" s="13">
        <v>54700</v>
      </c>
      <c r="X7" s="13">
        <v>45163</v>
      </c>
      <c r="Y7" s="13">
        <v>34077</v>
      </c>
      <c r="Z7" s="13">
        <v>35665</v>
      </c>
    </row>
    <row r="8" spans="1:26">
      <c r="A8" s="32">
        <v>6</v>
      </c>
      <c r="B8" s="12" t="s">
        <v>101</v>
      </c>
      <c r="C8" s="13">
        <v>0</v>
      </c>
      <c r="D8" s="13">
        <v>0</v>
      </c>
      <c r="E8" s="13">
        <v>305</v>
      </c>
      <c r="F8" s="13">
        <v>116</v>
      </c>
      <c r="G8" s="13">
        <v>555</v>
      </c>
      <c r="H8" s="13">
        <v>735</v>
      </c>
      <c r="I8" s="13">
        <v>1226</v>
      </c>
      <c r="J8" s="13">
        <v>705</v>
      </c>
      <c r="K8" s="3">
        <v>0</v>
      </c>
      <c r="L8" s="3">
        <v>0</v>
      </c>
      <c r="M8" s="3">
        <v>224</v>
      </c>
      <c r="N8" s="3">
        <v>0</v>
      </c>
      <c r="O8" s="3">
        <v>352</v>
      </c>
      <c r="P8" s="3">
        <v>648</v>
      </c>
      <c r="Q8" s="3">
        <v>0</v>
      </c>
      <c r="R8" s="3">
        <v>448</v>
      </c>
      <c r="S8" s="13">
        <v>0</v>
      </c>
      <c r="T8" s="13">
        <v>0</v>
      </c>
      <c r="U8" s="13">
        <v>81</v>
      </c>
      <c r="V8" s="13">
        <v>116</v>
      </c>
      <c r="W8" s="13">
        <v>203</v>
      </c>
      <c r="X8" s="13">
        <v>87</v>
      </c>
      <c r="Y8" s="13">
        <v>1226</v>
      </c>
      <c r="Z8" s="13">
        <v>257</v>
      </c>
    </row>
    <row r="9" spans="1:26">
      <c r="A9" s="32">
        <v>7</v>
      </c>
      <c r="B9" s="12" t="s">
        <v>103</v>
      </c>
      <c r="C9" s="13">
        <v>1646</v>
      </c>
      <c r="D9" s="13">
        <v>1719</v>
      </c>
      <c r="E9" s="13">
        <v>2929</v>
      </c>
      <c r="F9" s="13">
        <v>2911</v>
      </c>
      <c r="G9" s="13">
        <v>2196</v>
      </c>
      <c r="H9" s="13">
        <v>2093</v>
      </c>
      <c r="I9" s="13">
        <v>2513</v>
      </c>
      <c r="J9" s="13">
        <v>3035</v>
      </c>
      <c r="K9" s="3">
        <v>0</v>
      </c>
      <c r="L9" s="3">
        <v>0</v>
      </c>
      <c r="M9" s="3">
        <v>0</v>
      </c>
      <c r="N9" s="3">
        <v>0</v>
      </c>
      <c r="O9" s="3">
        <v>490</v>
      </c>
      <c r="P9" s="3">
        <v>209</v>
      </c>
      <c r="Q9" s="3">
        <v>0</v>
      </c>
      <c r="R9" s="3">
        <v>0</v>
      </c>
      <c r="S9" s="13">
        <v>1646</v>
      </c>
      <c r="T9" s="13">
        <v>1719</v>
      </c>
      <c r="U9" s="13">
        <v>2929</v>
      </c>
      <c r="V9" s="13">
        <v>2911</v>
      </c>
      <c r="W9" s="13">
        <v>1706</v>
      </c>
      <c r="X9" s="13">
        <v>1884</v>
      </c>
      <c r="Y9" s="13">
        <v>2513</v>
      </c>
      <c r="Z9" s="13">
        <v>3035</v>
      </c>
    </row>
    <row r="10" spans="1:26">
      <c r="A10" s="32">
        <v>8</v>
      </c>
      <c r="B10" s="12" t="s">
        <v>105</v>
      </c>
      <c r="C10" s="13">
        <v>2232</v>
      </c>
      <c r="D10" s="13">
        <v>2015</v>
      </c>
      <c r="E10" s="13">
        <v>3007</v>
      </c>
      <c r="F10" s="13">
        <v>2751</v>
      </c>
      <c r="G10" s="13">
        <v>3018</v>
      </c>
      <c r="H10" s="13">
        <v>2865</v>
      </c>
      <c r="I10" s="13">
        <v>3832</v>
      </c>
      <c r="J10" s="13">
        <v>3136</v>
      </c>
      <c r="K10" s="3">
        <v>220</v>
      </c>
      <c r="L10" s="3">
        <v>0</v>
      </c>
      <c r="M10" s="3">
        <v>0</v>
      </c>
      <c r="N10" s="3">
        <v>0</v>
      </c>
      <c r="O10" s="3">
        <v>130</v>
      </c>
      <c r="P10" s="3">
        <v>0</v>
      </c>
      <c r="Q10" s="3">
        <v>0</v>
      </c>
      <c r="R10" s="3">
        <v>0</v>
      </c>
      <c r="S10" s="13">
        <v>2012</v>
      </c>
      <c r="T10" s="13">
        <v>2015</v>
      </c>
      <c r="U10" s="13">
        <v>3007</v>
      </c>
      <c r="V10" s="13">
        <v>2751</v>
      </c>
      <c r="W10" s="13">
        <v>2888</v>
      </c>
      <c r="X10" s="13">
        <v>2865</v>
      </c>
      <c r="Y10" s="13">
        <v>3832</v>
      </c>
      <c r="Z10" s="13">
        <v>3136</v>
      </c>
    </row>
    <row r="11" spans="1:26">
      <c r="A11" s="32">
        <v>9</v>
      </c>
      <c r="B11" s="12" t="s">
        <v>107</v>
      </c>
      <c r="C11" s="13">
        <v>1517</v>
      </c>
      <c r="D11" s="13">
        <v>2026</v>
      </c>
      <c r="E11" s="13">
        <v>2214</v>
      </c>
      <c r="F11" s="13">
        <v>3645</v>
      </c>
      <c r="G11" s="13">
        <v>2309</v>
      </c>
      <c r="H11" s="13">
        <v>2160</v>
      </c>
      <c r="I11" s="13">
        <v>2963</v>
      </c>
      <c r="J11" s="13">
        <v>3302</v>
      </c>
      <c r="K11" s="3">
        <v>128</v>
      </c>
      <c r="L11" s="3">
        <v>206</v>
      </c>
      <c r="M11" s="3">
        <v>0</v>
      </c>
      <c r="N11" s="3">
        <v>1108</v>
      </c>
      <c r="O11" s="3">
        <v>0</v>
      </c>
      <c r="P11" s="3">
        <v>0</v>
      </c>
      <c r="Q11" s="3">
        <v>0</v>
      </c>
      <c r="R11" s="3">
        <v>403</v>
      </c>
      <c r="S11" s="13">
        <v>1389</v>
      </c>
      <c r="T11" s="13">
        <v>1820</v>
      </c>
      <c r="U11" s="13">
        <v>2214</v>
      </c>
      <c r="V11" s="13">
        <v>2537</v>
      </c>
      <c r="W11" s="13">
        <v>2309</v>
      </c>
      <c r="X11" s="13">
        <v>2160</v>
      </c>
      <c r="Y11" s="13">
        <v>2963</v>
      </c>
      <c r="Z11" s="13">
        <v>2899</v>
      </c>
    </row>
    <row r="12" spans="1:26">
      <c r="A12" s="32">
        <v>10</v>
      </c>
      <c r="B12" s="12" t="s">
        <v>109</v>
      </c>
      <c r="C12" s="13">
        <v>378</v>
      </c>
      <c r="D12" s="13">
        <v>494</v>
      </c>
      <c r="E12" s="13">
        <v>517</v>
      </c>
      <c r="F12" s="13">
        <v>503</v>
      </c>
      <c r="G12" s="13">
        <v>545</v>
      </c>
      <c r="H12" s="13">
        <v>858</v>
      </c>
      <c r="I12" s="13">
        <v>532</v>
      </c>
      <c r="J12" s="13">
        <v>530</v>
      </c>
      <c r="K12" s="3">
        <v>0</v>
      </c>
      <c r="L12" s="3">
        <v>32</v>
      </c>
      <c r="M12" s="3">
        <v>0</v>
      </c>
      <c r="N12" s="3">
        <v>42</v>
      </c>
      <c r="O12" s="3">
        <v>0</v>
      </c>
      <c r="P12" s="3">
        <v>378</v>
      </c>
      <c r="Q12" s="3">
        <v>0</v>
      </c>
      <c r="R12" s="3">
        <v>44</v>
      </c>
      <c r="S12" s="13">
        <v>378</v>
      </c>
      <c r="T12" s="13">
        <v>462</v>
      </c>
      <c r="U12" s="13">
        <v>517</v>
      </c>
      <c r="V12" s="13">
        <v>461</v>
      </c>
      <c r="W12" s="13">
        <v>545</v>
      </c>
      <c r="X12" s="13">
        <v>480</v>
      </c>
      <c r="Y12" s="13">
        <v>532</v>
      </c>
      <c r="Z12" s="13">
        <v>486</v>
      </c>
    </row>
    <row r="13" spans="1:26" ht="15">
      <c r="A13" s="32">
        <v>11</v>
      </c>
      <c r="B13" s="60" t="s">
        <v>111</v>
      </c>
      <c r="C13" s="13">
        <v>241</v>
      </c>
      <c r="D13" s="13">
        <v>232</v>
      </c>
      <c r="E13" s="13">
        <v>257</v>
      </c>
      <c r="F13" s="13">
        <v>164</v>
      </c>
      <c r="G13" s="13">
        <v>235</v>
      </c>
      <c r="H13" s="13">
        <v>307</v>
      </c>
      <c r="I13" s="13">
        <v>332</v>
      </c>
      <c r="J13" s="13">
        <v>252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13">
        <v>241</v>
      </c>
      <c r="T13" s="13">
        <v>232</v>
      </c>
      <c r="U13" s="13">
        <v>257</v>
      </c>
      <c r="V13" s="13">
        <v>164</v>
      </c>
      <c r="W13" s="13">
        <v>235</v>
      </c>
      <c r="X13" s="13">
        <v>307</v>
      </c>
      <c r="Y13" s="13">
        <v>332</v>
      </c>
      <c r="Z13" s="13">
        <v>252</v>
      </c>
    </row>
    <row r="14" spans="1:26">
      <c r="A14" s="32">
        <v>12</v>
      </c>
      <c r="B14" s="12" t="s">
        <v>113</v>
      </c>
      <c r="C14" s="13">
        <v>5033</v>
      </c>
      <c r="D14" s="13">
        <v>4391</v>
      </c>
      <c r="E14" s="13">
        <v>5388</v>
      </c>
      <c r="F14" s="13">
        <v>4170</v>
      </c>
      <c r="G14" s="13">
        <v>5164</v>
      </c>
      <c r="H14" s="13">
        <v>4771</v>
      </c>
      <c r="I14" s="13">
        <v>4356</v>
      </c>
      <c r="J14" s="13">
        <v>3882</v>
      </c>
      <c r="K14" s="3">
        <v>0</v>
      </c>
      <c r="L14" s="3">
        <v>143</v>
      </c>
      <c r="M14" s="3">
        <v>0</v>
      </c>
      <c r="N14" s="3">
        <v>651</v>
      </c>
      <c r="O14" s="3">
        <v>0</v>
      </c>
      <c r="P14" s="3">
        <v>349</v>
      </c>
      <c r="Q14" s="3">
        <v>200</v>
      </c>
      <c r="R14" s="3">
        <v>200</v>
      </c>
      <c r="S14" s="13">
        <v>5033</v>
      </c>
      <c r="T14" s="13">
        <v>4248</v>
      </c>
      <c r="U14" s="13">
        <v>5388</v>
      </c>
      <c r="V14" s="13">
        <v>3519</v>
      </c>
      <c r="W14" s="13">
        <v>5164</v>
      </c>
      <c r="X14" s="13">
        <v>4422</v>
      </c>
      <c r="Y14" s="13">
        <v>4156</v>
      </c>
      <c r="Z14" s="13">
        <v>3682</v>
      </c>
    </row>
    <row r="15" spans="1:26">
      <c r="A15" s="32">
        <v>13</v>
      </c>
      <c r="B15" s="12" t="s">
        <v>115</v>
      </c>
      <c r="C15" s="13">
        <v>526</v>
      </c>
      <c r="D15" s="13">
        <v>715</v>
      </c>
      <c r="E15" s="13">
        <v>713</v>
      </c>
      <c r="F15" s="13">
        <v>929</v>
      </c>
      <c r="G15" s="13">
        <v>645</v>
      </c>
      <c r="H15" s="13">
        <v>562</v>
      </c>
      <c r="I15" s="13">
        <v>718</v>
      </c>
      <c r="J15" s="13">
        <v>546</v>
      </c>
      <c r="K15" s="3">
        <v>0</v>
      </c>
      <c r="L15" s="3">
        <v>260</v>
      </c>
      <c r="M15" s="3">
        <v>197</v>
      </c>
      <c r="N15" s="3">
        <v>0</v>
      </c>
      <c r="O15" s="3">
        <v>86</v>
      </c>
      <c r="P15" s="3">
        <v>0</v>
      </c>
      <c r="Q15" s="3">
        <v>0</v>
      </c>
      <c r="R15" s="3">
        <v>37</v>
      </c>
      <c r="S15" s="13">
        <v>526</v>
      </c>
      <c r="T15" s="13">
        <v>455</v>
      </c>
      <c r="U15" s="13">
        <v>516</v>
      </c>
      <c r="V15" s="13">
        <v>929</v>
      </c>
      <c r="W15" s="13">
        <v>559</v>
      </c>
      <c r="X15" s="13">
        <v>562</v>
      </c>
      <c r="Y15" s="13">
        <v>718</v>
      </c>
      <c r="Z15" s="13">
        <v>509</v>
      </c>
    </row>
    <row r="16" spans="1:26">
      <c r="A16" s="32">
        <v>14</v>
      </c>
      <c r="B16" s="12" t="s">
        <v>117</v>
      </c>
      <c r="C16" s="13">
        <v>500</v>
      </c>
      <c r="D16" s="13">
        <v>522</v>
      </c>
      <c r="E16" s="13">
        <v>2219</v>
      </c>
      <c r="F16" s="13">
        <v>3191</v>
      </c>
      <c r="G16" s="13">
        <v>5183</v>
      </c>
      <c r="H16" s="13">
        <v>3711</v>
      </c>
      <c r="I16" s="13">
        <v>7719</v>
      </c>
      <c r="J16" s="13">
        <v>5730</v>
      </c>
      <c r="K16" s="3">
        <v>378</v>
      </c>
      <c r="L16" s="3">
        <v>75</v>
      </c>
      <c r="M16" s="3">
        <v>287</v>
      </c>
      <c r="N16" s="3">
        <v>385</v>
      </c>
      <c r="O16" s="3">
        <v>1249</v>
      </c>
      <c r="P16" s="3">
        <v>250</v>
      </c>
      <c r="Q16" s="3">
        <v>1487</v>
      </c>
      <c r="R16" s="3">
        <v>1732</v>
      </c>
      <c r="S16" s="13">
        <v>122</v>
      </c>
      <c r="T16" s="13">
        <v>447</v>
      </c>
      <c r="U16" s="13">
        <v>1932</v>
      </c>
      <c r="V16" s="13">
        <v>2806</v>
      </c>
      <c r="W16" s="13">
        <v>3934</v>
      </c>
      <c r="X16" s="13">
        <v>3461</v>
      </c>
      <c r="Y16" s="13">
        <v>6232</v>
      </c>
      <c r="Z16" s="13">
        <v>3998</v>
      </c>
    </row>
    <row r="17" spans="1:26">
      <c r="A17" s="32">
        <v>15</v>
      </c>
      <c r="B17" s="12" t="s">
        <v>119</v>
      </c>
      <c r="C17" s="13">
        <v>177</v>
      </c>
      <c r="D17" s="13">
        <v>315</v>
      </c>
      <c r="E17" s="13">
        <v>323</v>
      </c>
      <c r="F17" s="13">
        <v>157</v>
      </c>
      <c r="G17" s="13">
        <v>313</v>
      </c>
      <c r="H17" s="13">
        <v>355</v>
      </c>
      <c r="I17" s="13">
        <v>349</v>
      </c>
      <c r="J17" s="13">
        <v>326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24</v>
      </c>
      <c r="Q17" s="3">
        <v>0</v>
      </c>
      <c r="R17" s="3">
        <v>0</v>
      </c>
      <c r="S17" s="13">
        <v>177</v>
      </c>
      <c r="T17" s="13">
        <v>315</v>
      </c>
      <c r="U17" s="13">
        <v>323</v>
      </c>
      <c r="V17" s="13">
        <v>157</v>
      </c>
      <c r="W17" s="13">
        <v>313</v>
      </c>
      <c r="X17" s="13">
        <v>331</v>
      </c>
      <c r="Y17" s="13">
        <v>349</v>
      </c>
      <c r="Z17" s="13">
        <v>326</v>
      </c>
    </row>
    <row r="18" spans="1:26">
      <c r="A18" s="32">
        <v>16</v>
      </c>
      <c r="B18" s="12" t="s">
        <v>121</v>
      </c>
      <c r="C18" s="13">
        <v>1104</v>
      </c>
      <c r="D18" s="13">
        <v>1343</v>
      </c>
      <c r="E18" s="13">
        <v>2007</v>
      </c>
      <c r="F18" s="13">
        <v>1493</v>
      </c>
      <c r="G18" s="13">
        <v>2218</v>
      </c>
      <c r="H18" s="13">
        <v>2888</v>
      </c>
      <c r="I18" s="13">
        <v>1773</v>
      </c>
      <c r="J18" s="13">
        <v>1723</v>
      </c>
      <c r="K18" s="3">
        <v>339</v>
      </c>
      <c r="L18" s="3">
        <v>251</v>
      </c>
      <c r="M18" s="3">
        <v>315</v>
      </c>
      <c r="N18" s="3">
        <v>299</v>
      </c>
      <c r="O18" s="3">
        <v>389</v>
      </c>
      <c r="P18" s="3">
        <v>883</v>
      </c>
      <c r="Q18" s="3">
        <v>207</v>
      </c>
      <c r="R18" s="3">
        <v>200</v>
      </c>
      <c r="S18" s="13">
        <v>765</v>
      </c>
      <c r="T18" s="13">
        <v>1092</v>
      </c>
      <c r="U18" s="13">
        <v>1692</v>
      </c>
      <c r="V18" s="13">
        <v>1194</v>
      </c>
      <c r="W18" s="13">
        <v>1829</v>
      </c>
      <c r="X18" s="13">
        <v>2005</v>
      </c>
      <c r="Y18" s="13">
        <v>1566</v>
      </c>
      <c r="Z18" s="13">
        <v>1523</v>
      </c>
    </row>
    <row r="19" spans="1:26">
      <c r="A19" s="32">
        <v>17</v>
      </c>
      <c r="B19" s="12" t="s">
        <v>123</v>
      </c>
      <c r="C19" s="13">
        <v>669</v>
      </c>
      <c r="D19" s="13">
        <v>825</v>
      </c>
      <c r="E19" s="13">
        <v>1044</v>
      </c>
      <c r="F19" s="13">
        <v>889</v>
      </c>
      <c r="G19" s="13">
        <v>1221</v>
      </c>
      <c r="H19" s="13">
        <v>1921</v>
      </c>
      <c r="I19" s="13">
        <v>1424</v>
      </c>
      <c r="J19" s="13">
        <v>1652</v>
      </c>
      <c r="K19" s="3">
        <v>94</v>
      </c>
      <c r="L19" s="3">
        <v>0</v>
      </c>
      <c r="M19" s="3">
        <v>0</v>
      </c>
      <c r="N19" s="3">
        <v>0</v>
      </c>
      <c r="O19" s="3">
        <v>0</v>
      </c>
      <c r="P19" s="3">
        <v>422</v>
      </c>
      <c r="Q19" s="3">
        <v>140</v>
      </c>
      <c r="R19" s="3">
        <v>403</v>
      </c>
      <c r="S19" s="13">
        <v>575</v>
      </c>
      <c r="T19" s="13">
        <v>825</v>
      </c>
      <c r="U19" s="13">
        <v>1044</v>
      </c>
      <c r="V19" s="13">
        <v>889</v>
      </c>
      <c r="W19" s="13">
        <v>1221</v>
      </c>
      <c r="X19" s="13">
        <v>1499</v>
      </c>
      <c r="Y19" s="13">
        <v>1284</v>
      </c>
      <c r="Z19" s="13">
        <v>1249</v>
      </c>
    </row>
    <row r="20" spans="1:26">
      <c r="A20" s="32">
        <v>18</v>
      </c>
      <c r="B20" s="12" t="s">
        <v>125</v>
      </c>
      <c r="C20" s="13">
        <v>658</v>
      </c>
      <c r="D20" s="13">
        <v>628</v>
      </c>
      <c r="E20" s="13">
        <v>856</v>
      </c>
      <c r="F20" s="13">
        <v>731</v>
      </c>
      <c r="G20" s="13">
        <v>807</v>
      </c>
      <c r="H20" s="13">
        <v>716</v>
      </c>
      <c r="I20" s="13">
        <v>1247</v>
      </c>
      <c r="J20" s="13">
        <v>715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13">
        <v>658</v>
      </c>
      <c r="T20" s="13">
        <v>628</v>
      </c>
      <c r="U20" s="13">
        <v>856</v>
      </c>
      <c r="V20" s="13">
        <v>731</v>
      </c>
      <c r="W20" s="13">
        <v>807</v>
      </c>
      <c r="X20" s="13">
        <v>716</v>
      </c>
      <c r="Y20" s="13">
        <v>1247</v>
      </c>
      <c r="Z20" s="13">
        <v>715</v>
      </c>
    </row>
    <row r="21" spans="1:26">
      <c r="A21" s="32">
        <v>19</v>
      </c>
      <c r="B21" s="12" t="s">
        <v>127</v>
      </c>
      <c r="C21" s="13">
        <v>8642</v>
      </c>
      <c r="D21" s="13">
        <v>8753</v>
      </c>
      <c r="E21" s="13">
        <v>8870</v>
      </c>
      <c r="F21" s="13">
        <v>6977</v>
      </c>
      <c r="G21" s="13">
        <v>8155</v>
      </c>
      <c r="H21" s="13">
        <v>9919</v>
      </c>
      <c r="I21" s="13">
        <v>9535</v>
      </c>
      <c r="J21" s="13">
        <v>7261</v>
      </c>
      <c r="K21" s="3">
        <v>698</v>
      </c>
      <c r="L21" s="3">
        <v>2000</v>
      </c>
      <c r="M21" s="3">
        <v>770</v>
      </c>
      <c r="N21" s="3">
        <v>0</v>
      </c>
      <c r="O21" s="3">
        <v>500</v>
      </c>
      <c r="P21" s="3">
        <v>2031</v>
      </c>
      <c r="Q21" s="3">
        <v>2633</v>
      </c>
      <c r="R21" s="3">
        <v>662</v>
      </c>
      <c r="S21" s="13">
        <v>7944</v>
      </c>
      <c r="T21" s="13">
        <v>6753</v>
      </c>
      <c r="U21" s="13">
        <v>8100</v>
      </c>
      <c r="V21" s="13">
        <v>6977</v>
      </c>
      <c r="W21" s="13">
        <v>7655</v>
      </c>
      <c r="X21" s="13">
        <v>7888</v>
      </c>
      <c r="Y21" s="13">
        <v>6902</v>
      </c>
      <c r="Z21" s="13">
        <v>6599</v>
      </c>
    </row>
    <row r="22" spans="1:26">
      <c r="A22" s="32">
        <v>20</v>
      </c>
      <c r="B22" s="12" t="s">
        <v>129</v>
      </c>
      <c r="C22" s="13">
        <v>218</v>
      </c>
      <c r="D22" s="13">
        <v>361</v>
      </c>
      <c r="E22" s="13">
        <v>450</v>
      </c>
      <c r="F22" s="13">
        <v>577</v>
      </c>
      <c r="G22" s="13">
        <v>508</v>
      </c>
      <c r="H22" s="13">
        <v>525</v>
      </c>
      <c r="I22" s="13">
        <v>441</v>
      </c>
      <c r="J22" s="13">
        <v>506</v>
      </c>
      <c r="K22" s="3">
        <v>0</v>
      </c>
      <c r="L22" s="3">
        <v>90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120</v>
      </c>
      <c r="S22" s="13">
        <v>218</v>
      </c>
      <c r="T22" s="13">
        <v>271</v>
      </c>
      <c r="U22" s="13">
        <v>450</v>
      </c>
      <c r="V22" s="13">
        <v>577</v>
      </c>
      <c r="W22" s="13">
        <v>508</v>
      </c>
      <c r="X22" s="13">
        <v>525</v>
      </c>
      <c r="Y22" s="13">
        <v>441</v>
      </c>
      <c r="Z22" s="13">
        <v>386</v>
      </c>
    </row>
    <row r="23" spans="1:26">
      <c r="A23" s="32">
        <v>21</v>
      </c>
      <c r="B23" s="12" t="s">
        <v>131</v>
      </c>
      <c r="C23" s="13">
        <v>137</v>
      </c>
      <c r="D23" s="13">
        <v>100</v>
      </c>
      <c r="E23" s="13">
        <v>174</v>
      </c>
      <c r="F23" s="13">
        <v>108</v>
      </c>
      <c r="G23" s="13">
        <v>225</v>
      </c>
      <c r="H23" s="13">
        <v>199</v>
      </c>
      <c r="I23" s="13">
        <v>225</v>
      </c>
      <c r="J23" s="13">
        <v>208</v>
      </c>
      <c r="K23" s="3">
        <v>44</v>
      </c>
      <c r="L23" s="3">
        <v>0</v>
      </c>
      <c r="M23" s="3">
        <v>0</v>
      </c>
      <c r="N23" s="3">
        <v>44</v>
      </c>
      <c r="O23" s="3">
        <v>44</v>
      </c>
      <c r="P23" s="3">
        <v>0</v>
      </c>
      <c r="Q23" s="3">
        <v>0</v>
      </c>
      <c r="R23" s="3">
        <v>0</v>
      </c>
      <c r="S23" s="13">
        <v>93</v>
      </c>
      <c r="T23" s="13">
        <v>100</v>
      </c>
      <c r="U23" s="13">
        <v>174</v>
      </c>
      <c r="V23" s="13">
        <v>64</v>
      </c>
      <c r="W23" s="13">
        <v>181</v>
      </c>
      <c r="X23" s="13">
        <v>199</v>
      </c>
      <c r="Y23" s="13">
        <v>225</v>
      </c>
      <c r="Z23" s="13">
        <v>208</v>
      </c>
    </row>
    <row r="24" spans="1:26">
      <c r="A24" s="32">
        <v>22</v>
      </c>
      <c r="B24" s="12" t="s">
        <v>133</v>
      </c>
      <c r="C24" s="13">
        <v>40155</v>
      </c>
      <c r="D24" s="13">
        <v>33754</v>
      </c>
      <c r="E24" s="13">
        <v>24936</v>
      </c>
      <c r="F24" s="13">
        <v>30180</v>
      </c>
      <c r="G24" s="13">
        <v>24413</v>
      </c>
      <c r="H24" s="13">
        <v>21567</v>
      </c>
      <c r="I24" s="13">
        <v>18955</v>
      </c>
      <c r="J24" s="13">
        <v>13465</v>
      </c>
      <c r="K24" s="3">
        <v>0</v>
      </c>
      <c r="L24" s="3">
        <v>7500</v>
      </c>
      <c r="M24" s="3">
        <v>6108</v>
      </c>
      <c r="N24" s="3">
        <v>0</v>
      </c>
      <c r="O24" s="3">
        <v>10000</v>
      </c>
      <c r="P24" s="3">
        <v>7602</v>
      </c>
      <c r="Q24" s="3">
        <v>0</v>
      </c>
      <c r="R24" s="3">
        <v>4500</v>
      </c>
      <c r="S24" s="13">
        <v>40155</v>
      </c>
      <c r="T24" s="13">
        <v>26254</v>
      </c>
      <c r="U24" s="13">
        <v>18828</v>
      </c>
      <c r="V24" s="13">
        <v>30180</v>
      </c>
      <c r="W24" s="13">
        <v>14413</v>
      </c>
      <c r="X24" s="13">
        <v>13965</v>
      </c>
      <c r="Y24" s="13">
        <v>18955</v>
      </c>
      <c r="Z24" s="13">
        <v>8965</v>
      </c>
    </row>
    <row r="25" spans="1:26">
      <c r="A25" s="32">
        <v>23</v>
      </c>
      <c r="B25" s="12" t="s">
        <v>135</v>
      </c>
      <c r="C25" s="13">
        <v>5776</v>
      </c>
      <c r="D25" s="13">
        <v>8541</v>
      </c>
      <c r="E25" s="13">
        <v>7271</v>
      </c>
      <c r="F25" s="13">
        <v>8430</v>
      </c>
      <c r="G25" s="13">
        <v>7874</v>
      </c>
      <c r="H25" s="13">
        <v>7845</v>
      </c>
      <c r="I25" s="13">
        <v>6185</v>
      </c>
      <c r="J25" s="13">
        <v>6821</v>
      </c>
      <c r="K25" s="3">
        <v>2205</v>
      </c>
      <c r="L25" s="3">
        <v>0</v>
      </c>
      <c r="M25" s="3">
        <v>2000</v>
      </c>
      <c r="N25" s="3">
        <v>4870</v>
      </c>
      <c r="O25" s="3">
        <v>0</v>
      </c>
      <c r="P25" s="3">
        <v>4410</v>
      </c>
      <c r="Q25" s="3">
        <v>2255</v>
      </c>
      <c r="R25" s="3">
        <v>2639</v>
      </c>
      <c r="S25" s="13">
        <v>3571</v>
      </c>
      <c r="T25" s="13">
        <v>8541</v>
      </c>
      <c r="U25" s="13">
        <v>5271</v>
      </c>
      <c r="V25" s="13">
        <v>3560</v>
      </c>
      <c r="W25" s="13">
        <v>7874</v>
      </c>
      <c r="X25" s="13">
        <v>3435</v>
      </c>
      <c r="Y25" s="13">
        <v>3930</v>
      </c>
      <c r="Z25" s="13">
        <v>4182</v>
      </c>
    </row>
    <row r="26" spans="1:26">
      <c r="A26" s="32">
        <v>24</v>
      </c>
      <c r="B26" s="12" t="s">
        <v>137</v>
      </c>
      <c r="C26" s="13">
        <v>2323</v>
      </c>
      <c r="D26" s="13">
        <v>2029</v>
      </c>
      <c r="E26" s="13">
        <v>2474</v>
      </c>
      <c r="F26" s="13">
        <v>2580</v>
      </c>
      <c r="G26" s="13">
        <v>2824</v>
      </c>
      <c r="H26" s="13">
        <v>2575</v>
      </c>
      <c r="I26" s="13">
        <v>2967</v>
      </c>
      <c r="J26" s="13">
        <v>2165</v>
      </c>
      <c r="K26" s="3">
        <v>831</v>
      </c>
      <c r="L26" s="3">
        <v>469</v>
      </c>
      <c r="M26" s="3">
        <v>300</v>
      </c>
      <c r="N26" s="3">
        <v>765</v>
      </c>
      <c r="O26" s="3">
        <v>635</v>
      </c>
      <c r="P26" s="3">
        <v>260</v>
      </c>
      <c r="Q26" s="3">
        <v>200</v>
      </c>
      <c r="R26" s="3">
        <v>222</v>
      </c>
      <c r="S26" s="13">
        <v>1492</v>
      </c>
      <c r="T26" s="13">
        <v>1560</v>
      </c>
      <c r="U26" s="13">
        <v>2174</v>
      </c>
      <c r="V26" s="13">
        <v>1815</v>
      </c>
      <c r="W26" s="13">
        <v>2189</v>
      </c>
      <c r="X26" s="13">
        <v>2315</v>
      </c>
      <c r="Y26" s="13">
        <v>2767</v>
      </c>
      <c r="Z26" s="13">
        <v>1943</v>
      </c>
    </row>
    <row r="27" spans="1:26">
      <c r="A27" s="32">
        <v>25</v>
      </c>
      <c r="B27" s="12" t="s">
        <v>139</v>
      </c>
      <c r="C27" s="13">
        <v>4866</v>
      </c>
      <c r="D27" s="13">
        <v>4039</v>
      </c>
      <c r="E27" s="13">
        <v>3277</v>
      </c>
      <c r="F27" s="13">
        <v>7708</v>
      </c>
      <c r="G27" s="13">
        <v>4828</v>
      </c>
      <c r="H27" s="13">
        <v>3853</v>
      </c>
      <c r="I27" s="13">
        <v>4516</v>
      </c>
      <c r="J27" s="13">
        <v>3747</v>
      </c>
      <c r="K27" s="3">
        <v>1275</v>
      </c>
      <c r="L27" s="3">
        <v>0</v>
      </c>
      <c r="M27" s="3">
        <v>159</v>
      </c>
      <c r="N27" s="3">
        <v>1667</v>
      </c>
      <c r="O27" s="3">
        <v>750</v>
      </c>
      <c r="P27" s="3">
        <v>0</v>
      </c>
      <c r="Q27" s="3">
        <v>725</v>
      </c>
      <c r="R27" s="3">
        <v>1488</v>
      </c>
      <c r="S27" s="13">
        <v>3591</v>
      </c>
      <c r="T27" s="13">
        <v>4039</v>
      </c>
      <c r="U27" s="13">
        <v>3118</v>
      </c>
      <c r="V27" s="13">
        <v>6041</v>
      </c>
      <c r="W27" s="13">
        <v>4078</v>
      </c>
      <c r="X27" s="13">
        <v>3853</v>
      </c>
      <c r="Y27" s="13">
        <v>3791</v>
      </c>
      <c r="Z27" s="13">
        <v>2259</v>
      </c>
    </row>
    <row r="28" spans="1:26">
      <c r="A28" s="32">
        <v>26</v>
      </c>
      <c r="B28" s="12" t="s">
        <v>141</v>
      </c>
      <c r="C28" s="13">
        <v>1136</v>
      </c>
      <c r="D28" s="13">
        <v>1183</v>
      </c>
      <c r="E28" s="13">
        <v>1537</v>
      </c>
      <c r="F28" s="13">
        <v>1301</v>
      </c>
      <c r="G28" s="13">
        <v>1917</v>
      </c>
      <c r="H28" s="13">
        <v>1357</v>
      </c>
      <c r="I28" s="13">
        <v>1969</v>
      </c>
      <c r="J28" s="13">
        <v>1919</v>
      </c>
      <c r="K28" s="3">
        <v>354</v>
      </c>
      <c r="L28" s="3">
        <v>0</v>
      </c>
      <c r="M28" s="3">
        <v>346</v>
      </c>
      <c r="N28" s="3">
        <v>569</v>
      </c>
      <c r="O28" s="3">
        <v>700</v>
      </c>
      <c r="P28" s="3">
        <v>250</v>
      </c>
      <c r="Q28" s="3">
        <v>0</v>
      </c>
      <c r="R28" s="3">
        <v>1072</v>
      </c>
      <c r="S28" s="13">
        <v>782</v>
      </c>
      <c r="T28" s="13">
        <v>1183</v>
      </c>
      <c r="U28" s="13">
        <v>1191</v>
      </c>
      <c r="V28" s="13">
        <v>732</v>
      </c>
      <c r="W28" s="13">
        <v>1217</v>
      </c>
      <c r="X28" s="13">
        <v>1107</v>
      </c>
      <c r="Y28" s="13">
        <v>1969</v>
      </c>
      <c r="Z28" s="13">
        <v>847</v>
      </c>
    </row>
    <row r="29" spans="1:26">
      <c r="A29" s="32">
        <v>27</v>
      </c>
      <c r="B29" s="12" t="s">
        <v>143</v>
      </c>
      <c r="C29" s="13">
        <v>736</v>
      </c>
      <c r="D29" s="13">
        <v>960</v>
      </c>
      <c r="E29" s="13">
        <v>1480</v>
      </c>
      <c r="F29" s="13">
        <v>2472</v>
      </c>
      <c r="G29" s="13">
        <v>1881</v>
      </c>
      <c r="H29" s="13">
        <v>1921</v>
      </c>
      <c r="I29" s="13">
        <v>2864</v>
      </c>
      <c r="J29" s="13">
        <v>2240</v>
      </c>
      <c r="K29" s="3">
        <v>96</v>
      </c>
      <c r="L29" s="3">
        <v>128</v>
      </c>
      <c r="M29" s="3">
        <v>96</v>
      </c>
      <c r="N29" s="3">
        <v>0</v>
      </c>
      <c r="O29" s="3">
        <v>128</v>
      </c>
      <c r="P29" s="3">
        <v>0</v>
      </c>
      <c r="Q29" s="3">
        <v>384</v>
      </c>
      <c r="R29" s="3">
        <v>664</v>
      </c>
      <c r="S29" s="13">
        <v>640</v>
      </c>
      <c r="T29" s="13">
        <v>832</v>
      </c>
      <c r="U29" s="13">
        <v>1384</v>
      </c>
      <c r="V29" s="13">
        <v>2472</v>
      </c>
      <c r="W29" s="13">
        <v>1753</v>
      </c>
      <c r="X29" s="13">
        <v>1921</v>
      </c>
      <c r="Y29" s="13">
        <v>2480</v>
      </c>
      <c r="Z29" s="13">
        <v>1576</v>
      </c>
    </row>
    <row r="30" spans="1:26">
      <c r="A30" s="32">
        <v>28</v>
      </c>
      <c r="B30" s="12" t="s">
        <v>145</v>
      </c>
      <c r="C30" s="13">
        <v>1459</v>
      </c>
      <c r="D30" s="13">
        <v>1874</v>
      </c>
      <c r="E30" s="13">
        <v>2058</v>
      </c>
      <c r="F30" s="13">
        <v>1184</v>
      </c>
      <c r="G30" s="13">
        <v>1939</v>
      </c>
      <c r="H30" s="13">
        <v>580</v>
      </c>
      <c r="I30" s="13">
        <v>827</v>
      </c>
      <c r="J30" s="13">
        <v>943</v>
      </c>
      <c r="K30" s="3">
        <v>0</v>
      </c>
      <c r="L30" s="3">
        <v>1051</v>
      </c>
      <c r="M30" s="3">
        <v>0</v>
      </c>
      <c r="N30" s="3">
        <v>0</v>
      </c>
      <c r="O30" s="3">
        <v>1359</v>
      </c>
      <c r="P30" s="3">
        <v>0</v>
      </c>
      <c r="Q30" s="3">
        <v>200</v>
      </c>
      <c r="R30" s="3">
        <v>0</v>
      </c>
      <c r="S30" s="13">
        <v>1459</v>
      </c>
      <c r="T30" s="13">
        <v>823</v>
      </c>
      <c r="U30" s="13">
        <v>2058</v>
      </c>
      <c r="V30" s="13">
        <v>1184</v>
      </c>
      <c r="W30" s="13">
        <v>580</v>
      </c>
      <c r="X30" s="13">
        <v>580</v>
      </c>
      <c r="Y30" s="13">
        <v>627</v>
      </c>
      <c r="Z30" s="13">
        <v>943</v>
      </c>
    </row>
    <row r="31" spans="1:26">
      <c r="A31" s="32">
        <v>29</v>
      </c>
      <c r="B31" s="12" t="s">
        <v>147</v>
      </c>
      <c r="C31" s="13">
        <v>57</v>
      </c>
      <c r="D31" s="13">
        <v>115</v>
      </c>
      <c r="E31" s="13">
        <v>155</v>
      </c>
      <c r="F31" s="13">
        <v>270</v>
      </c>
      <c r="G31" s="13">
        <v>305</v>
      </c>
      <c r="H31" s="13">
        <v>445</v>
      </c>
      <c r="I31" s="13">
        <v>646</v>
      </c>
      <c r="J31" s="13">
        <v>301</v>
      </c>
      <c r="K31" s="3">
        <v>18</v>
      </c>
      <c r="L31" s="3">
        <v>30</v>
      </c>
      <c r="M31" s="3">
        <v>65</v>
      </c>
      <c r="N31" s="3">
        <v>171</v>
      </c>
      <c r="O31" s="3">
        <v>0</v>
      </c>
      <c r="P31" s="3">
        <v>0</v>
      </c>
      <c r="Q31" s="3">
        <v>240</v>
      </c>
      <c r="R31" s="3">
        <v>0</v>
      </c>
      <c r="S31" s="13">
        <v>39</v>
      </c>
      <c r="T31" s="13">
        <v>85</v>
      </c>
      <c r="U31" s="13">
        <v>90</v>
      </c>
      <c r="V31" s="13">
        <v>99</v>
      </c>
      <c r="W31" s="13">
        <v>305</v>
      </c>
      <c r="X31" s="13">
        <v>445</v>
      </c>
      <c r="Y31" s="13">
        <v>406</v>
      </c>
      <c r="Z31" s="13">
        <v>301</v>
      </c>
    </row>
    <row r="32" spans="1:26">
      <c r="A32" s="32">
        <v>30</v>
      </c>
      <c r="B32" s="12" t="s">
        <v>149</v>
      </c>
      <c r="C32" s="13">
        <v>974</v>
      </c>
      <c r="D32" s="13">
        <v>1278</v>
      </c>
      <c r="E32" s="13">
        <v>841</v>
      </c>
      <c r="F32" s="13">
        <v>1026</v>
      </c>
      <c r="G32" s="13">
        <v>1337</v>
      </c>
      <c r="H32" s="13">
        <v>1634</v>
      </c>
      <c r="I32" s="13">
        <v>2092</v>
      </c>
      <c r="J32" s="13">
        <v>1208</v>
      </c>
      <c r="K32" s="3">
        <v>480</v>
      </c>
      <c r="L32" s="3">
        <v>850</v>
      </c>
      <c r="M32" s="3">
        <v>395</v>
      </c>
      <c r="N32" s="3">
        <v>311</v>
      </c>
      <c r="O32" s="3">
        <v>0</v>
      </c>
      <c r="P32" s="3">
        <v>951</v>
      </c>
      <c r="Q32" s="3">
        <v>805</v>
      </c>
      <c r="R32" s="3">
        <v>420</v>
      </c>
      <c r="S32" s="13">
        <v>494</v>
      </c>
      <c r="T32" s="13">
        <v>428</v>
      </c>
      <c r="U32" s="13">
        <v>446</v>
      </c>
      <c r="V32" s="13">
        <v>715</v>
      </c>
      <c r="W32" s="13">
        <v>1337</v>
      </c>
      <c r="X32" s="13">
        <v>683</v>
      </c>
      <c r="Y32" s="13">
        <v>1287</v>
      </c>
      <c r="Z32" s="13">
        <v>788</v>
      </c>
    </row>
  </sheetData>
  <mergeCells count="5">
    <mergeCell ref="A1:A2"/>
    <mergeCell ref="C1:J1"/>
    <mergeCell ref="K1:R1"/>
    <mergeCell ref="S1:Z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BEB3-2A75-4EE6-BABC-828CEB46AB26}">
  <sheetPr>
    <tabColor theme="5" tint="0.59999389629810485"/>
  </sheetPr>
  <dimension ref="A1:P177"/>
  <sheetViews>
    <sheetView topLeftCell="A74" workbookViewId="0">
      <selection activeCell="B87" sqref="B87"/>
    </sheetView>
  </sheetViews>
  <sheetFormatPr defaultRowHeight="14.65"/>
  <cols>
    <col min="1" max="1" width="9.28515625" style="33"/>
    <col min="2" max="2" width="51.140625" customWidth="1"/>
    <col min="3" max="3" width="22" customWidth="1"/>
  </cols>
  <sheetData>
    <row r="1" spans="1:16" ht="14.65" customHeight="1">
      <c r="A1" s="95" t="s">
        <v>151</v>
      </c>
      <c r="B1" s="95" t="s">
        <v>194</v>
      </c>
      <c r="C1" s="95" t="s">
        <v>195</v>
      </c>
      <c r="D1" s="96" t="s">
        <v>196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16" s="1" customFormat="1">
      <c r="A2" s="95"/>
      <c r="B2" s="95"/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>
      <c r="A3" s="95"/>
      <c r="B3" s="95"/>
      <c r="C3" s="95"/>
      <c r="D3" s="9" t="s">
        <v>197</v>
      </c>
      <c r="E3" s="9" t="s">
        <v>198</v>
      </c>
      <c r="F3" s="9" t="s">
        <v>199</v>
      </c>
      <c r="G3" s="9" t="s">
        <v>200</v>
      </c>
      <c r="H3" s="9" t="s">
        <v>201</v>
      </c>
      <c r="I3" s="9" t="s">
        <v>186</v>
      </c>
      <c r="J3" s="9" t="s">
        <v>187</v>
      </c>
      <c r="K3" s="9" t="s">
        <v>188</v>
      </c>
      <c r="L3" s="9" t="s">
        <v>189</v>
      </c>
      <c r="M3" s="9" t="s">
        <v>190</v>
      </c>
      <c r="N3" s="9" t="s">
        <v>191</v>
      </c>
      <c r="O3" s="9" t="s">
        <v>192</v>
      </c>
      <c r="P3" s="9" t="s">
        <v>193</v>
      </c>
    </row>
    <row r="4" spans="1:16">
      <c r="A4" s="46">
        <v>1</v>
      </c>
      <c r="B4" s="2" t="s">
        <v>91</v>
      </c>
      <c r="C4" s="2" t="s">
        <v>202</v>
      </c>
      <c r="D4" s="4">
        <v>1583.5</v>
      </c>
      <c r="E4" s="4">
        <v>2570</v>
      </c>
      <c r="F4" s="4">
        <v>1481</v>
      </c>
      <c r="G4" s="4">
        <v>2726.5</v>
      </c>
      <c r="H4" s="4">
        <v>955.16</v>
      </c>
      <c r="I4" s="4">
        <v>1216.4000000000001</v>
      </c>
      <c r="J4" s="4">
        <v>1576</v>
      </c>
      <c r="K4" s="4">
        <v>2347</v>
      </c>
      <c r="L4" s="4">
        <v>1244</v>
      </c>
      <c r="M4" s="4">
        <v>1888.25</v>
      </c>
      <c r="N4" s="4">
        <v>1373.5</v>
      </c>
      <c r="O4" s="4">
        <v>1990</v>
      </c>
      <c r="P4" s="4">
        <v>937.94720000000007</v>
      </c>
    </row>
    <row r="5" spans="1:16">
      <c r="A5" s="46">
        <v>1</v>
      </c>
      <c r="B5" s="2" t="s">
        <v>91</v>
      </c>
      <c r="C5" s="2" t="s">
        <v>203</v>
      </c>
      <c r="D5" s="4">
        <v>6329.5</v>
      </c>
      <c r="E5" s="4">
        <v>7274.5</v>
      </c>
      <c r="F5" s="4">
        <v>2531</v>
      </c>
      <c r="G5" s="4">
        <v>4107.5</v>
      </c>
      <c r="H5" s="4">
        <v>2825.84</v>
      </c>
      <c r="I5" s="4">
        <v>2482.5</v>
      </c>
      <c r="J5" s="4">
        <v>3448.5</v>
      </c>
      <c r="K5" s="4">
        <v>3683</v>
      </c>
      <c r="L5" s="4">
        <v>3835.6</v>
      </c>
      <c r="M5" s="4">
        <v>5856.45</v>
      </c>
      <c r="N5" s="4">
        <v>4716</v>
      </c>
      <c r="O5" s="4">
        <v>3720.4</v>
      </c>
      <c r="P5" s="4">
        <v>2983.0527999999999</v>
      </c>
    </row>
    <row r="6" spans="1:16">
      <c r="A6" s="46">
        <v>1</v>
      </c>
      <c r="B6" s="2" t="s">
        <v>91</v>
      </c>
      <c r="C6" s="2" t="s">
        <v>204</v>
      </c>
      <c r="D6" s="4">
        <v>7009</v>
      </c>
      <c r="E6" s="4">
        <v>6310</v>
      </c>
      <c r="F6" s="4">
        <v>3381</v>
      </c>
      <c r="G6" s="4">
        <v>3877</v>
      </c>
      <c r="H6" s="4">
        <v>5608</v>
      </c>
      <c r="I6" s="4">
        <v>3284</v>
      </c>
      <c r="J6" s="4">
        <v>4619</v>
      </c>
      <c r="K6" s="4">
        <v>6400</v>
      </c>
      <c r="L6" s="4">
        <v>5275</v>
      </c>
      <c r="M6" s="4">
        <v>4797</v>
      </c>
      <c r="N6" s="4">
        <v>4438</v>
      </c>
      <c r="O6" s="4">
        <v>4619</v>
      </c>
      <c r="P6" s="4">
        <v>4070</v>
      </c>
    </row>
    <row r="7" spans="1:16">
      <c r="A7" s="46">
        <v>1</v>
      </c>
      <c r="B7" s="2" t="s">
        <v>91</v>
      </c>
      <c r="C7" s="2" t="s">
        <v>205</v>
      </c>
      <c r="D7" s="4">
        <v>3597</v>
      </c>
      <c r="E7" s="4">
        <v>4658</v>
      </c>
      <c r="F7" s="4">
        <v>3899</v>
      </c>
      <c r="G7" s="4">
        <v>5113</v>
      </c>
      <c r="H7" s="4">
        <v>2881</v>
      </c>
      <c r="I7" s="4">
        <v>1932.9</v>
      </c>
      <c r="J7" s="4">
        <v>4331</v>
      </c>
      <c r="K7" s="4">
        <v>5284</v>
      </c>
      <c r="L7" s="4">
        <v>3357.4</v>
      </c>
      <c r="M7" s="4">
        <v>2861.8</v>
      </c>
      <c r="N7" s="4">
        <v>2895</v>
      </c>
      <c r="O7" s="4">
        <v>4684.6000000000004</v>
      </c>
      <c r="P7" s="4">
        <v>3438</v>
      </c>
    </row>
    <row r="8" spans="1:16">
      <c r="A8" s="46">
        <v>1</v>
      </c>
      <c r="B8" s="2" t="s">
        <v>91</v>
      </c>
      <c r="C8" s="2" t="s">
        <v>206</v>
      </c>
      <c r="D8" s="4">
        <v>2650</v>
      </c>
      <c r="E8" s="4">
        <v>270</v>
      </c>
      <c r="F8" s="4">
        <v>-779</v>
      </c>
      <c r="G8" s="4">
        <v>110</v>
      </c>
      <c r="H8" s="4">
        <v>58</v>
      </c>
      <c r="I8" s="4">
        <v>414</v>
      </c>
      <c r="J8" s="4">
        <v>3446</v>
      </c>
      <c r="K8" s="4">
        <v>717</v>
      </c>
      <c r="L8" s="4">
        <v>840</v>
      </c>
      <c r="M8" s="4">
        <v>784</v>
      </c>
      <c r="N8" s="4">
        <v>802</v>
      </c>
      <c r="O8" s="4">
        <v>3512</v>
      </c>
      <c r="P8" s="4">
        <v>1670</v>
      </c>
    </row>
    <row r="9" spans="1:16">
      <c r="A9" s="46">
        <v>1</v>
      </c>
      <c r="B9" s="2" t="s">
        <v>91</v>
      </c>
      <c r="C9" s="2" t="s">
        <v>207</v>
      </c>
      <c r="D9" s="4">
        <v>77</v>
      </c>
      <c r="E9" s="4">
        <v>64.5</v>
      </c>
      <c r="F9" s="4">
        <v>74</v>
      </c>
      <c r="G9" s="4">
        <v>166</v>
      </c>
      <c r="H9" s="4">
        <v>105</v>
      </c>
      <c r="I9" s="4">
        <v>110.2</v>
      </c>
      <c r="J9" s="4">
        <v>107.5</v>
      </c>
      <c r="K9" s="4">
        <v>93</v>
      </c>
      <c r="L9" s="4">
        <v>155</v>
      </c>
      <c r="M9" s="4">
        <v>70.5</v>
      </c>
      <c r="N9" s="4">
        <v>170.5</v>
      </c>
      <c r="O9" s="4">
        <v>137</v>
      </c>
      <c r="P9" s="4">
        <v>46</v>
      </c>
    </row>
    <row r="10" spans="1:16">
      <c r="A10" s="46">
        <v>2</v>
      </c>
      <c r="B10" s="2" t="s">
        <v>93</v>
      </c>
      <c r="C10" s="2" t="s">
        <v>202</v>
      </c>
      <c r="D10" s="4">
        <v>1215</v>
      </c>
      <c r="E10" s="4">
        <v>3790.5</v>
      </c>
      <c r="F10" s="4">
        <v>2861.55</v>
      </c>
      <c r="G10" s="4">
        <v>6692.5</v>
      </c>
      <c r="H10" s="4">
        <v>7083</v>
      </c>
      <c r="I10" s="4">
        <v>4148</v>
      </c>
      <c r="J10" s="4">
        <v>8116.5</v>
      </c>
      <c r="K10" s="4">
        <v>8602</v>
      </c>
      <c r="L10" s="4">
        <v>5313.5</v>
      </c>
      <c r="M10" s="4">
        <v>8590.5</v>
      </c>
      <c r="N10" s="4">
        <v>5668.5</v>
      </c>
      <c r="O10" s="4">
        <v>5299.5</v>
      </c>
      <c r="P10" s="4">
        <v>5776</v>
      </c>
    </row>
    <row r="11" spans="1:16">
      <c r="A11" s="46">
        <v>2</v>
      </c>
      <c r="B11" s="2" t="s">
        <v>93</v>
      </c>
      <c r="C11" s="2" t="s">
        <v>203</v>
      </c>
      <c r="D11" s="4">
        <v>2094</v>
      </c>
      <c r="E11" s="4">
        <v>3066.5</v>
      </c>
      <c r="F11" s="4">
        <v>8388.9500000000007</v>
      </c>
      <c r="G11" s="4">
        <v>7354</v>
      </c>
      <c r="H11" s="4">
        <v>4517</v>
      </c>
      <c r="I11" s="4">
        <v>12618.5</v>
      </c>
      <c r="J11" s="4">
        <v>4766</v>
      </c>
      <c r="K11" s="4">
        <v>7997.1</v>
      </c>
      <c r="L11" s="4">
        <v>10581</v>
      </c>
      <c r="M11" s="4">
        <v>6430</v>
      </c>
      <c r="N11" s="4">
        <v>14848.25</v>
      </c>
      <c r="O11" s="4">
        <v>9974</v>
      </c>
      <c r="P11" s="4">
        <v>7945</v>
      </c>
    </row>
    <row r="12" spans="1:16">
      <c r="A12" s="46">
        <v>2</v>
      </c>
      <c r="B12" s="2" t="s">
        <v>93</v>
      </c>
      <c r="C12" s="2" t="s">
        <v>204</v>
      </c>
      <c r="D12" s="4">
        <v>5128</v>
      </c>
      <c r="E12" s="4">
        <v>6124</v>
      </c>
      <c r="F12" s="4">
        <v>13211</v>
      </c>
      <c r="G12" s="4">
        <v>14126</v>
      </c>
      <c r="H12" s="4">
        <v>14685</v>
      </c>
      <c r="I12" s="4">
        <v>18581</v>
      </c>
      <c r="J12" s="4">
        <v>18246</v>
      </c>
      <c r="K12" s="4">
        <v>24124</v>
      </c>
      <c r="L12" s="4">
        <v>20091</v>
      </c>
      <c r="M12" s="4">
        <v>35546</v>
      </c>
      <c r="N12" s="4">
        <v>36144</v>
      </c>
      <c r="O12" s="4">
        <v>27521</v>
      </c>
      <c r="P12" s="4">
        <v>21778</v>
      </c>
    </row>
    <row r="13" spans="1:16">
      <c r="A13" s="46">
        <v>2</v>
      </c>
      <c r="B13" s="2" t="s">
        <v>93</v>
      </c>
      <c r="C13" s="2" t="s">
        <v>205</v>
      </c>
      <c r="D13" s="4">
        <v>13120</v>
      </c>
      <c r="E13" s="4">
        <v>16081</v>
      </c>
      <c r="F13" s="4">
        <v>15519</v>
      </c>
      <c r="G13" s="4">
        <v>26622</v>
      </c>
      <c r="H13" s="4">
        <v>15050.214400000001</v>
      </c>
      <c r="I13" s="4">
        <v>25767.285599999999</v>
      </c>
      <c r="J13" s="4">
        <v>28078</v>
      </c>
      <c r="K13" s="4">
        <v>24269</v>
      </c>
      <c r="L13" s="4">
        <v>19835</v>
      </c>
      <c r="M13" s="4">
        <v>26196.629999999997</v>
      </c>
      <c r="N13" s="4">
        <v>30224.75</v>
      </c>
      <c r="O13" s="4">
        <v>27571</v>
      </c>
      <c r="P13" s="4">
        <v>22374</v>
      </c>
    </row>
    <row r="14" spans="1:16">
      <c r="A14" s="46">
        <v>2</v>
      </c>
      <c r="B14" s="2" t="s">
        <v>93</v>
      </c>
      <c r="C14" s="2" t="s">
        <v>206</v>
      </c>
      <c r="D14" s="4">
        <v>53</v>
      </c>
      <c r="E14" s="4">
        <v>1187</v>
      </c>
      <c r="F14" s="4">
        <v>179</v>
      </c>
      <c r="G14" s="4">
        <v>5608</v>
      </c>
      <c r="H14" s="4">
        <v>-5.2144000000000119</v>
      </c>
      <c r="I14" s="4">
        <v>-2368.7856000000002</v>
      </c>
      <c r="J14" s="4">
        <v>261</v>
      </c>
      <c r="K14" s="4">
        <v>506</v>
      </c>
      <c r="L14" s="4">
        <v>620</v>
      </c>
      <c r="M14" s="4">
        <v>650</v>
      </c>
      <c r="N14" s="4">
        <v>156</v>
      </c>
      <c r="O14" s="4">
        <v>184.5</v>
      </c>
      <c r="P14" s="4">
        <v>161</v>
      </c>
    </row>
    <row r="15" spans="1:16">
      <c r="A15" s="46">
        <v>2</v>
      </c>
      <c r="B15" s="2" t="s">
        <v>93</v>
      </c>
      <c r="C15" s="2" t="s">
        <v>207</v>
      </c>
      <c r="D15" s="4">
        <v>57</v>
      </c>
      <c r="E15" s="4">
        <v>250</v>
      </c>
      <c r="F15" s="4">
        <v>345.5</v>
      </c>
      <c r="G15" s="4">
        <v>811.5</v>
      </c>
      <c r="H15" s="4">
        <v>602</v>
      </c>
      <c r="I15" s="4">
        <v>678</v>
      </c>
      <c r="J15" s="4">
        <v>605.5</v>
      </c>
      <c r="K15" s="4">
        <v>1453.9</v>
      </c>
      <c r="L15" s="4">
        <v>690.5</v>
      </c>
      <c r="M15" s="4">
        <v>682.87</v>
      </c>
      <c r="N15" s="4">
        <v>801.5</v>
      </c>
      <c r="O15" s="4">
        <v>944</v>
      </c>
      <c r="P15" s="4">
        <v>284</v>
      </c>
    </row>
    <row r="16" spans="1:16">
      <c r="A16" s="46">
        <v>3</v>
      </c>
      <c r="B16" s="2" t="s">
        <v>95</v>
      </c>
      <c r="C16" s="2" t="s">
        <v>202</v>
      </c>
      <c r="D16" s="4">
        <v>211</v>
      </c>
      <c r="E16" s="4">
        <v>347</v>
      </c>
      <c r="F16" s="4">
        <v>428</v>
      </c>
      <c r="G16" s="4">
        <v>472</v>
      </c>
      <c r="H16" s="4">
        <v>380</v>
      </c>
      <c r="I16" s="4">
        <v>377.786</v>
      </c>
      <c r="J16" s="4">
        <v>587.5</v>
      </c>
      <c r="K16" s="4">
        <v>746.28</v>
      </c>
      <c r="L16" s="4">
        <v>481</v>
      </c>
      <c r="M16" s="4">
        <v>602</v>
      </c>
      <c r="N16" s="4">
        <v>500.57799999999997</v>
      </c>
      <c r="O16" s="4">
        <v>718.09999999999991</v>
      </c>
      <c r="P16" s="4">
        <v>573</v>
      </c>
    </row>
    <row r="17" spans="1:16">
      <c r="A17" s="46">
        <v>3</v>
      </c>
      <c r="B17" s="2" t="s">
        <v>95</v>
      </c>
      <c r="C17" s="2" t="s">
        <v>203</v>
      </c>
      <c r="D17" s="4">
        <v>1367</v>
      </c>
      <c r="E17" s="4">
        <v>1122</v>
      </c>
      <c r="F17" s="4">
        <v>698</v>
      </c>
      <c r="G17" s="4">
        <v>948</v>
      </c>
      <c r="H17" s="4">
        <v>642</v>
      </c>
      <c r="I17" s="4">
        <v>1038.8726999999999</v>
      </c>
      <c r="J17" s="4">
        <v>926.57350000000008</v>
      </c>
      <c r="K17" s="4">
        <v>1257.4891</v>
      </c>
      <c r="L17" s="4">
        <v>845.20240000000001</v>
      </c>
      <c r="M17" s="4">
        <v>1236.6931999999999</v>
      </c>
      <c r="N17" s="4">
        <v>1477.25</v>
      </c>
      <c r="O17" s="4">
        <v>1360.1311999999998</v>
      </c>
      <c r="P17" s="4">
        <v>1300</v>
      </c>
    </row>
    <row r="18" spans="1:16">
      <c r="A18" s="46">
        <v>3</v>
      </c>
      <c r="B18" s="2" t="s">
        <v>95</v>
      </c>
      <c r="C18" s="2" t="s">
        <v>204</v>
      </c>
      <c r="D18" s="4">
        <v>1990</v>
      </c>
      <c r="E18" s="4">
        <v>1934</v>
      </c>
      <c r="F18" s="4">
        <v>2055</v>
      </c>
      <c r="G18" s="4">
        <v>2340</v>
      </c>
      <c r="H18" s="4">
        <v>1956</v>
      </c>
      <c r="I18" s="4">
        <v>2001</v>
      </c>
      <c r="J18" s="4">
        <v>2227</v>
      </c>
      <c r="K18" s="4">
        <v>2327</v>
      </c>
      <c r="L18" s="4">
        <v>2353</v>
      </c>
      <c r="M18" s="4">
        <v>2404</v>
      </c>
      <c r="N18" s="4">
        <v>2307</v>
      </c>
      <c r="O18" s="4">
        <v>3036</v>
      </c>
      <c r="P18" s="4">
        <v>2710</v>
      </c>
    </row>
    <row r="19" spans="1:16">
      <c r="A19" s="46">
        <v>3</v>
      </c>
      <c r="B19" s="2" t="s">
        <v>95</v>
      </c>
      <c r="C19" s="2" t="s">
        <v>205</v>
      </c>
      <c r="D19" s="4">
        <v>933</v>
      </c>
      <c r="E19" s="4">
        <v>1135</v>
      </c>
      <c r="F19" s="4">
        <v>1006</v>
      </c>
      <c r="G19" s="4">
        <v>1073</v>
      </c>
      <c r="H19" s="4">
        <v>938</v>
      </c>
      <c r="I19" s="4">
        <v>927.21399999999994</v>
      </c>
      <c r="J19" s="4">
        <v>1539</v>
      </c>
      <c r="K19" s="4">
        <v>1240.6042000000002</v>
      </c>
      <c r="L19" s="4">
        <v>947.00540000000001</v>
      </c>
      <c r="M19" s="4">
        <v>1221.0095999999999</v>
      </c>
      <c r="N19" s="4">
        <v>1138.1732</v>
      </c>
      <c r="O19" s="4">
        <v>1406.5</v>
      </c>
      <c r="P19" s="4">
        <v>1503</v>
      </c>
    </row>
    <row r="20" spans="1:16">
      <c r="A20" s="46">
        <v>3</v>
      </c>
      <c r="B20" s="2" t="s">
        <v>95</v>
      </c>
      <c r="C20" s="2" t="s">
        <v>206</v>
      </c>
      <c r="D20" s="4">
        <v>54</v>
      </c>
      <c r="E20" s="4">
        <v>88</v>
      </c>
      <c r="F20" s="4">
        <v>126</v>
      </c>
      <c r="G20" s="4">
        <v>133</v>
      </c>
      <c r="H20" s="4">
        <v>117</v>
      </c>
      <c r="I20" s="4">
        <v>162.12729999999999</v>
      </c>
      <c r="J20" s="4">
        <v>92.626499999999993</v>
      </c>
      <c r="K20" s="4">
        <v>134.9067</v>
      </c>
      <c r="L20" s="4">
        <v>144.29220000000001</v>
      </c>
      <c r="M20" s="4">
        <v>128.7972</v>
      </c>
      <c r="N20" s="4">
        <v>183.99880000000002</v>
      </c>
      <c r="O20" s="4">
        <v>161.1688</v>
      </c>
      <c r="P20" s="4">
        <v>149</v>
      </c>
    </row>
    <row r="21" spans="1:16">
      <c r="A21" s="46">
        <v>3</v>
      </c>
      <c r="B21" s="2" t="s">
        <v>95</v>
      </c>
      <c r="C21" s="2" t="s">
        <v>207</v>
      </c>
      <c r="D21" s="4">
        <v>54</v>
      </c>
      <c r="E21" s="4">
        <v>52</v>
      </c>
      <c r="F21" s="4">
        <v>82</v>
      </c>
      <c r="G21" s="4">
        <v>95</v>
      </c>
      <c r="H21" s="4">
        <v>57</v>
      </c>
      <c r="I21" s="4">
        <v>63</v>
      </c>
      <c r="J21" s="4">
        <v>75.3</v>
      </c>
      <c r="K21" s="4">
        <v>94.72</v>
      </c>
      <c r="L21" s="4">
        <v>97.5</v>
      </c>
      <c r="M21" s="4">
        <v>63.5</v>
      </c>
      <c r="N21" s="4">
        <v>94</v>
      </c>
      <c r="O21" s="4">
        <v>102.1</v>
      </c>
      <c r="P21" s="4">
        <v>111</v>
      </c>
    </row>
    <row r="22" spans="1:16">
      <c r="A22" s="46">
        <v>4</v>
      </c>
      <c r="B22" s="2" t="s">
        <v>97</v>
      </c>
      <c r="C22" s="2" t="s">
        <v>202</v>
      </c>
      <c r="D22" s="4">
        <v>1288.288</v>
      </c>
      <c r="E22" s="4">
        <v>700.4</v>
      </c>
      <c r="F22" s="4">
        <v>855.65</v>
      </c>
      <c r="G22" s="4">
        <v>990.02959999999996</v>
      </c>
      <c r="H22" s="4">
        <v>675</v>
      </c>
      <c r="I22" s="4">
        <v>857.5</v>
      </c>
      <c r="J22" s="4">
        <v>877</v>
      </c>
      <c r="K22" s="4">
        <v>974</v>
      </c>
      <c r="L22" s="4">
        <v>724.0625</v>
      </c>
      <c r="M22" s="4">
        <v>997.5</v>
      </c>
      <c r="N22" s="4">
        <v>731.12</v>
      </c>
      <c r="O22" s="4">
        <v>811.78459999999995</v>
      </c>
      <c r="P22" s="4">
        <v>754.3</v>
      </c>
    </row>
    <row r="23" spans="1:16">
      <c r="A23" s="46">
        <v>4</v>
      </c>
      <c r="B23" s="2" t="s">
        <v>97</v>
      </c>
      <c r="C23" s="2" t="s">
        <v>203</v>
      </c>
      <c r="D23" s="4">
        <v>1788.5119999999999</v>
      </c>
      <c r="E23" s="4">
        <v>915.5</v>
      </c>
      <c r="F23" s="4">
        <v>1167.8499999999999</v>
      </c>
      <c r="G23" s="4">
        <v>1672</v>
      </c>
      <c r="H23" s="4">
        <v>1087</v>
      </c>
      <c r="I23" s="4">
        <v>932.53919999999994</v>
      </c>
      <c r="J23" s="4">
        <v>1447.5</v>
      </c>
      <c r="K23" s="4">
        <v>1568.1224999999999</v>
      </c>
      <c r="L23" s="4">
        <v>954.25</v>
      </c>
      <c r="M23" s="4">
        <v>1357.5</v>
      </c>
      <c r="N23" s="4">
        <v>1918.125</v>
      </c>
      <c r="O23" s="4">
        <v>1640.95</v>
      </c>
      <c r="P23" s="4">
        <v>1101.2</v>
      </c>
    </row>
    <row r="24" spans="1:16">
      <c r="A24" s="46">
        <v>4</v>
      </c>
      <c r="B24" s="2" t="s">
        <v>97</v>
      </c>
      <c r="C24" s="2" t="s">
        <v>204</v>
      </c>
      <c r="D24" s="4">
        <v>5315</v>
      </c>
      <c r="E24" s="4">
        <v>5784</v>
      </c>
      <c r="F24" s="4">
        <v>3384</v>
      </c>
      <c r="G24" s="4">
        <v>5221</v>
      </c>
      <c r="H24" s="4">
        <v>5780</v>
      </c>
      <c r="I24" s="4">
        <v>4036</v>
      </c>
      <c r="J24" s="4">
        <v>4894</v>
      </c>
      <c r="K24" s="4">
        <v>4802</v>
      </c>
      <c r="L24" s="4">
        <v>3920</v>
      </c>
      <c r="M24" s="4">
        <v>3830</v>
      </c>
      <c r="N24" s="4">
        <v>3679</v>
      </c>
      <c r="O24" s="4">
        <v>4862</v>
      </c>
      <c r="P24" s="4">
        <v>3875</v>
      </c>
    </row>
    <row r="25" spans="1:16">
      <c r="A25" s="46">
        <v>4</v>
      </c>
      <c r="B25" s="2" t="s">
        <v>97</v>
      </c>
      <c r="C25" s="2" t="s">
        <v>205</v>
      </c>
      <c r="D25" s="4">
        <v>2562</v>
      </c>
      <c r="E25" s="4">
        <v>3100</v>
      </c>
      <c r="F25" s="4">
        <v>2479</v>
      </c>
      <c r="G25" s="4">
        <v>3092</v>
      </c>
      <c r="H25" s="4">
        <v>3191</v>
      </c>
      <c r="I25" s="4">
        <v>2884</v>
      </c>
      <c r="J25" s="4">
        <v>3949</v>
      </c>
      <c r="K25" s="4">
        <v>2403</v>
      </c>
      <c r="L25" s="4">
        <v>2620.1875</v>
      </c>
      <c r="M25" s="4">
        <v>2008.5349999999999</v>
      </c>
      <c r="N25" s="4">
        <v>2427.3778000000002</v>
      </c>
      <c r="O25" s="4">
        <v>2604.25</v>
      </c>
      <c r="P25" s="4">
        <v>2460.5</v>
      </c>
    </row>
    <row r="26" spans="1:16">
      <c r="A26" s="46">
        <v>4</v>
      </c>
      <c r="B26" s="2" t="s">
        <v>97</v>
      </c>
      <c r="C26" s="2" t="s">
        <v>206</v>
      </c>
      <c r="D26" s="4">
        <v>118</v>
      </c>
      <c r="E26" s="4">
        <v>164</v>
      </c>
      <c r="F26" s="4">
        <v>222</v>
      </c>
      <c r="G26" s="4">
        <v>117</v>
      </c>
      <c r="H26" s="4">
        <v>47</v>
      </c>
      <c r="I26" s="4">
        <v>826.96079999999995</v>
      </c>
      <c r="J26" s="4">
        <v>84</v>
      </c>
      <c r="K26" s="4">
        <v>53.877499999999998</v>
      </c>
      <c r="L26" s="4">
        <v>134</v>
      </c>
      <c r="M26" s="4">
        <v>128.965</v>
      </c>
      <c r="N26" s="4">
        <v>522.99720000000002</v>
      </c>
      <c r="O26" s="4">
        <v>241</v>
      </c>
      <c r="P26" s="4">
        <v>92</v>
      </c>
    </row>
    <row r="27" spans="1:16">
      <c r="A27" s="46">
        <v>4</v>
      </c>
      <c r="B27" s="2" t="s">
        <v>97</v>
      </c>
      <c r="C27" s="2" t="s">
        <v>207</v>
      </c>
      <c r="D27" s="4">
        <v>118.2</v>
      </c>
      <c r="E27" s="4">
        <v>263.10000000000002</v>
      </c>
      <c r="F27" s="4">
        <v>249.5</v>
      </c>
      <c r="G27" s="4">
        <v>588.97040000000004</v>
      </c>
      <c r="H27" s="4">
        <v>-319</v>
      </c>
      <c r="I27" s="4">
        <v>165</v>
      </c>
      <c r="J27" s="4">
        <v>95.5</v>
      </c>
      <c r="K27" s="4">
        <v>145</v>
      </c>
      <c r="L27" s="4">
        <v>107.5</v>
      </c>
      <c r="M27" s="4">
        <v>113.5</v>
      </c>
      <c r="N27" s="4">
        <v>158.38</v>
      </c>
      <c r="O27" s="4">
        <v>178.0154</v>
      </c>
      <c r="P27" s="4">
        <v>150</v>
      </c>
    </row>
    <row r="28" spans="1:16">
      <c r="A28" s="46">
        <v>5</v>
      </c>
      <c r="B28" s="2" t="s">
        <v>99</v>
      </c>
      <c r="C28" s="2" t="s">
        <v>202</v>
      </c>
      <c r="D28" s="4">
        <v>2839.5</v>
      </c>
      <c r="E28" s="4">
        <v>5029</v>
      </c>
      <c r="F28" s="4">
        <v>4356</v>
      </c>
      <c r="G28" s="4">
        <v>3562.5</v>
      </c>
      <c r="H28" s="4">
        <v>3464</v>
      </c>
      <c r="I28" s="4">
        <v>5114</v>
      </c>
      <c r="J28" s="4">
        <v>3131.5</v>
      </c>
      <c r="K28" s="4">
        <v>3480</v>
      </c>
      <c r="L28" s="4">
        <v>2839.4</v>
      </c>
      <c r="M28" s="4">
        <v>4414.13</v>
      </c>
      <c r="N28" s="4">
        <v>2837.25</v>
      </c>
      <c r="O28" s="4">
        <v>2433</v>
      </c>
      <c r="P28" s="4">
        <v>1408.7</v>
      </c>
    </row>
    <row r="29" spans="1:16">
      <c r="A29" s="46">
        <v>5</v>
      </c>
      <c r="B29" s="2" t="s">
        <v>99</v>
      </c>
      <c r="C29" s="2" t="s">
        <v>203</v>
      </c>
      <c r="D29" s="4">
        <v>2940.5</v>
      </c>
      <c r="E29" s="4">
        <v>10581</v>
      </c>
      <c r="F29" s="4">
        <v>9622</v>
      </c>
      <c r="G29" s="4">
        <v>4818</v>
      </c>
      <c r="H29" s="4">
        <v>5047</v>
      </c>
      <c r="I29" s="4">
        <v>6935</v>
      </c>
      <c r="J29" s="4">
        <v>3761</v>
      </c>
      <c r="K29" s="4">
        <v>5287.5</v>
      </c>
      <c r="L29" s="4">
        <v>4183.5</v>
      </c>
      <c r="M29" s="4">
        <v>5360.21</v>
      </c>
      <c r="N29" s="4">
        <v>3775.75</v>
      </c>
      <c r="O29" s="4">
        <v>3663.25</v>
      </c>
      <c r="P29" s="4">
        <v>3637.5</v>
      </c>
    </row>
    <row r="30" spans="1:16">
      <c r="A30" s="46">
        <v>5</v>
      </c>
      <c r="B30" s="2" t="s">
        <v>99</v>
      </c>
      <c r="C30" s="2" t="s">
        <v>204</v>
      </c>
      <c r="D30" s="4">
        <v>43125</v>
      </c>
      <c r="E30" s="4">
        <v>51695</v>
      </c>
      <c r="F30" s="4">
        <v>31692</v>
      </c>
      <c r="G30" s="4">
        <v>36417</v>
      </c>
      <c r="H30" s="4">
        <v>27378</v>
      </c>
      <c r="I30" s="4">
        <v>30543</v>
      </c>
      <c r="J30" s="4">
        <v>35856</v>
      </c>
      <c r="K30" s="4">
        <v>35062</v>
      </c>
      <c r="L30" s="4">
        <v>38005</v>
      </c>
      <c r="M30" s="4">
        <v>40472</v>
      </c>
      <c r="N30" s="4">
        <v>28670</v>
      </c>
      <c r="O30" s="4">
        <v>29399</v>
      </c>
      <c r="P30" s="4">
        <v>27036</v>
      </c>
    </row>
    <row r="31" spans="1:16">
      <c r="A31" s="46">
        <v>5</v>
      </c>
      <c r="B31" s="2" t="s">
        <v>99</v>
      </c>
      <c r="C31" s="2" t="s">
        <v>205</v>
      </c>
      <c r="D31" s="4">
        <v>11319.43</v>
      </c>
      <c r="E31" s="4">
        <v>14000</v>
      </c>
      <c r="F31" s="4">
        <v>10448.4</v>
      </c>
      <c r="G31" s="4">
        <v>15996</v>
      </c>
      <c r="H31" s="4">
        <v>10853</v>
      </c>
      <c r="I31" s="4">
        <v>9226.5</v>
      </c>
      <c r="J31" s="4">
        <v>6312.5</v>
      </c>
      <c r="K31" s="4">
        <v>14409</v>
      </c>
      <c r="L31" s="4">
        <v>5339</v>
      </c>
      <c r="M31" s="4">
        <v>7212.5640000000003</v>
      </c>
      <c r="N31" s="4">
        <v>9866.9</v>
      </c>
      <c r="O31" s="4">
        <v>6449.2</v>
      </c>
      <c r="P31" s="4">
        <v>9808</v>
      </c>
    </row>
    <row r="32" spans="1:16">
      <c r="A32" s="46">
        <v>5</v>
      </c>
      <c r="B32" s="2" t="s">
        <v>99</v>
      </c>
      <c r="C32" s="2" t="s">
        <v>206</v>
      </c>
      <c r="D32" s="4">
        <v>5437</v>
      </c>
      <c r="E32" s="4">
        <v>1419</v>
      </c>
      <c r="F32" s="4">
        <v>10415.6</v>
      </c>
      <c r="G32" s="4">
        <v>-7255</v>
      </c>
      <c r="H32" s="4">
        <v>5576</v>
      </c>
      <c r="I32" s="4">
        <v>218.5</v>
      </c>
      <c r="J32" s="4">
        <v>1581</v>
      </c>
      <c r="K32" s="4">
        <v>-228</v>
      </c>
      <c r="L32" s="4">
        <v>1985</v>
      </c>
      <c r="M32" s="4">
        <v>1879.096</v>
      </c>
      <c r="N32" s="4">
        <v>6525.1</v>
      </c>
      <c r="O32" s="4">
        <v>-896.95</v>
      </c>
      <c r="P32" s="4">
        <v>216</v>
      </c>
    </row>
    <row r="33" spans="1:16">
      <c r="A33" s="46">
        <v>5</v>
      </c>
      <c r="B33" s="2" t="s">
        <v>99</v>
      </c>
      <c r="C33" s="2" t="s">
        <v>207</v>
      </c>
      <c r="D33" s="4">
        <v>1967.5700000000002</v>
      </c>
      <c r="E33" s="4">
        <v>1625</v>
      </c>
      <c r="F33" s="4">
        <v>1136</v>
      </c>
      <c r="G33" s="4">
        <v>1699.5</v>
      </c>
      <c r="H33" s="4">
        <v>1281</v>
      </c>
      <c r="I33" s="4">
        <v>1071</v>
      </c>
      <c r="J33" s="4">
        <v>1139</v>
      </c>
      <c r="K33" s="4">
        <v>1549.5</v>
      </c>
      <c r="L33" s="4">
        <v>893.1</v>
      </c>
      <c r="M33" s="4">
        <v>943</v>
      </c>
      <c r="N33" s="4">
        <v>2035</v>
      </c>
      <c r="O33" s="4">
        <v>476.5</v>
      </c>
      <c r="P33" s="4">
        <v>1081.8</v>
      </c>
    </row>
    <row r="34" spans="1:16">
      <c r="A34" s="46">
        <v>7</v>
      </c>
      <c r="B34" s="2" t="s">
        <v>103</v>
      </c>
      <c r="C34" s="2" t="s">
        <v>202</v>
      </c>
      <c r="D34" s="4">
        <v>69</v>
      </c>
      <c r="E34" s="4">
        <v>54</v>
      </c>
      <c r="F34" s="4">
        <v>84</v>
      </c>
      <c r="G34" s="4">
        <v>75</v>
      </c>
      <c r="H34" s="4">
        <v>83</v>
      </c>
      <c r="I34" s="4">
        <v>60.5</v>
      </c>
      <c r="J34" s="4">
        <v>86</v>
      </c>
      <c r="K34" s="4">
        <v>105.02</v>
      </c>
      <c r="L34" s="4">
        <v>70</v>
      </c>
      <c r="M34" s="4">
        <v>184</v>
      </c>
      <c r="N34" s="4">
        <v>50</v>
      </c>
      <c r="O34" s="4">
        <v>74.5</v>
      </c>
      <c r="P34" s="4">
        <v>62</v>
      </c>
    </row>
    <row r="35" spans="1:16">
      <c r="A35" s="46">
        <v>7</v>
      </c>
      <c r="B35" s="2" t="s">
        <v>103</v>
      </c>
      <c r="C35" s="2" t="s">
        <v>203</v>
      </c>
      <c r="D35" s="4">
        <v>59</v>
      </c>
      <c r="E35" s="4">
        <v>146</v>
      </c>
      <c r="F35" s="4">
        <v>68</v>
      </c>
      <c r="G35" s="4">
        <v>131</v>
      </c>
      <c r="H35" s="4">
        <v>87</v>
      </c>
      <c r="I35" s="4">
        <v>110</v>
      </c>
      <c r="J35" s="4">
        <v>104</v>
      </c>
      <c r="K35" s="4">
        <v>123.5</v>
      </c>
      <c r="L35" s="4">
        <v>147</v>
      </c>
      <c r="M35" s="4">
        <v>102</v>
      </c>
      <c r="N35" s="4">
        <v>116</v>
      </c>
      <c r="O35" s="4">
        <v>163</v>
      </c>
      <c r="P35" s="4">
        <v>159</v>
      </c>
    </row>
    <row r="36" spans="1:16">
      <c r="A36" s="46">
        <v>7</v>
      </c>
      <c r="B36" s="2" t="s">
        <v>103</v>
      </c>
      <c r="C36" s="2" t="s">
        <v>204</v>
      </c>
      <c r="D36" s="4">
        <v>1398</v>
      </c>
      <c r="E36" s="4">
        <v>682</v>
      </c>
      <c r="F36" s="4">
        <v>647</v>
      </c>
      <c r="G36" s="4">
        <v>945</v>
      </c>
      <c r="H36" s="4">
        <v>1461</v>
      </c>
      <c r="I36" s="4">
        <v>641</v>
      </c>
      <c r="J36" s="4">
        <v>679</v>
      </c>
      <c r="K36" s="4">
        <v>927</v>
      </c>
      <c r="L36" s="4">
        <v>1006</v>
      </c>
      <c r="M36" s="4">
        <v>692</v>
      </c>
      <c r="N36" s="4">
        <v>1039</v>
      </c>
      <c r="O36" s="4">
        <v>881</v>
      </c>
      <c r="P36" s="4">
        <v>945</v>
      </c>
    </row>
    <row r="37" spans="1:16">
      <c r="A37" s="46">
        <v>7</v>
      </c>
      <c r="B37" s="2" t="s">
        <v>103</v>
      </c>
      <c r="C37" s="2" t="s">
        <v>205</v>
      </c>
      <c r="D37" s="4">
        <v>1331</v>
      </c>
      <c r="E37" s="4">
        <v>814</v>
      </c>
      <c r="F37" s="4">
        <v>933</v>
      </c>
      <c r="G37" s="4">
        <v>1295</v>
      </c>
      <c r="H37" s="4">
        <v>2114</v>
      </c>
      <c r="I37" s="4">
        <v>787</v>
      </c>
      <c r="J37" s="4">
        <v>812</v>
      </c>
      <c r="K37" s="4">
        <v>1709.48</v>
      </c>
      <c r="L37" s="4">
        <v>1662</v>
      </c>
      <c r="M37" s="4">
        <v>1152</v>
      </c>
      <c r="N37" s="4">
        <v>806</v>
      </c>
      <c r="O37" s="4">
        <v>1349</v>
      </c>
      <c r="P37" s="4">
        <v>1839</v>
      </c>
    </row>
    <row r="38" spans="1:16">
      <c r="A38" s="46">
        <v>7</v>
      </c>
      <c r="B38" s="2" t="s">
        <v>103</v>
      </c>
      <c r="C38" s="2" t="s">
        <v>206</v>
      </c>
      <c r="D38" s="4">
        <v>23</v>
      </c>
      <c r="E38" s="4">
        <v>17.5</v>
      </c>
      <c r="F38" s="4">
        <v>17</v>
      </c>
      <c r="G38" s="4">
        <v>14</v>
      </c>
      <c r="H38" s="4">
        <v>16</v>
      </c>
      <c r="I38" s="4">
        <v>20</v>
      </c>
      <c r="J38" s="4">
        <v>12</v>
      </c>
      <c r="K38" s="4">
        <v>38</v>
      </c>
      <c r="L38" s="4">
        <v>19</v>
      </c>
      <c r="M38" s="4">
        <v>55</v>
      </c>
      <c r="N38" s="4">
        <v>80</v>
      </c>
      <c r="O38" s="4">
        <v>33</v>
      </c>
      <c r="P38" s="4">
        <v>22</v>
      </c>
    </row>
    <row r="39" spans="1:16">
      <c r="A39" s="46">
        <v>7</v>
      </c>
      <c r="B39" s="2" t="s">
        <v>103</v>
      </c>
      <c r="C39" s="2" t="s">
        <v>207</v>
      </c>
      <c r="D39" s="4">
        <v>18</v>
      </c>
      <c r="E39" s="4">
        <v>1.5</v>
      </c>
      <c r="F39" s="4">
        <v>6</v>
      </c>
      <c r="G39" s="4">
        <v>6</v>
      </c>
      <c r="H39" s="4">
        <v>9</v>
      </c>
      <c r="I39" s="4">
        <v>27.5</v>
      </c>
      <c r="J39" s="4">
        <v>26</v>
      </c>
      <c r="K39" s="4">
        <v>26</v>
      </c>
      <c r="L39" s="4">
        <v>7</v>
      </c>
      <c r="M39" s="4">
        <v>11</v>
      </c>
      <c r="N39" s="4">
        <v>2</v>
      </c>
      <c r="O39" s="4">
        <v>12.5</v>
      </c>
      <c r="P39" s="4">
        <v>8</v>
      </c>
    </row>
    <row r="40" spans="1:16">
      <c r="A40" s="46">
        <v>8</v>
      </c>
      <c r="B40" s="2" t="s">
        <v>105</v>
      </c>
      <c r="C40" s="2" t="s">
        <v>202</v>
      </c>
      <c r="D40" s="4">
        <v>187.5</v>
      </c>
      <c r="E40" s="4">
        <v>211</v>
      </c>
      <c r="F40" s="4">
        <v>196.17000000000002</v>
      </c>
      <c r="G40" s="4">
        <v>228.21520000000001</v>
      </c>
      <c r="H40" s="4">
        <v>198</v>
      </c>
      <c r="I40" s="4">
        <v>204.5</v>
      </c>
      <c r="J40" s="4">
        <v>227</v>
      </c>
      <c r="K40" s="4">
        <v>323.40800000000002</v>
      </c>
      <c r="L40" s="4">
        <v>368.1</v>
      </c>
      <c r="M40" s="4">
        <v>417</v>
      </c>
      <c r="N40" s="4">
        <v>278.5</v>
      </c>
      <c r="O40" s="4">
        <v>461.5</v>
      </c>
      <c r="P40" s="4">
        <v>340.59969999999998</v>
      </c>
    </row>
    <row r="41" spans="1:16">
      <c r="A41" s="46">
        <v>8</v>
      </c>
      <c r="B41" s="2" t="s">
        <v>105</v>
      </c>
      <c r="C41" s="2" t="s">
        <v>203</v>
      </c>
      <c r="D41" s="4">
        <v>122.5</v>
      </c>
      <c r="E41" s="4">
        <v>156</v>
      </c>
      <c r="F41" s="4">
        <v>367.33</v>
      </c>
      <c r="G41" s="4">
        <v>367</v>
      </c>
      <c r="H41" s="4">
        <v>274</v>
      </c>
      <c r="I41" s="4">
        <v>211</v>
      </c>
      <c r="J41" s="4">
        <v>232.5</v>
      </c>
      <c r="K41" s="4">
        <v>375.4</v>
      </c>
      <c r="L41" s="4">
        <v>340</v>
      </c>
      <c r="M41" s="4">
        <v>195</v>
      </c>
      <c r="N41" s="4">
        <v>380</v>
      </c>
      <c r="O41" s="4">
        <v>324</v>
      </c>
      <c r="P41" s="4">
        <v>518.09199999999998</v>
      </c>
    </row>
    <row r="42" spans="1:16">
      <c r="A42" s="46">
        <v>8</v>
      </c>
      <c r="B42" s="2" t="s">
        <v>105</v>
      </c>
      <c r="C42" s="2" t="s">
        <v>204</v>
      </c>
      <c r="D42" s="4">
        <v>1111</v>
      </c>
      <c r="E42" s="4">
        <v>893</v>
      </c>
      <c r="F42" s="4">
        <v>804</v>
      </c>
      <c r="G42" s="4">
        <v>1069</v>
      </c>
      <c r="H42" s="4">
        <v>1233</v>
      </c>
      <c r="I42" s="4">
        <v>925</v>
      </c>
      <c r="J42" s="4">
        <v>931</v>
      </c>
      <c r="K42" s="4">
        <v>1573</v>
      </c>
      <c r="L42" s="4">
        <v>1351</v>
      </c>
      <c r="M42" s="4">
        <v>1563</v>
      </c>
      <c r="N42" s="4">
        <v>1361</v>
      </c>
      <c r="O42" s="4">
        <v>1630</v>
      </c>
      <c r="P42" s="4">
        <v>1309</v>
      </c>
    </row>
    <row r="43" spans="1:16">
      <c r="A43" s="46">
        <v>8</v>
      </c>
      <c r="B43" s="2" t="s">
        <v>105</v>
      </c>
      <c r="C43" s="2" t="s">
        <v>205</v>
      </c>
      <c r="D43" s="4">
        <v>505</v>
      </c>
      <c r="E43" s="4">
        <v>662</v>
      </c>
      <c r="F43" s="4">
        <v>443</v>
      </c>
      <c r="G43" s="4">
        <v>756</v>
      </c>
      <c r="H43" s="4">
        <v>491</v>
      </c>
      <c r="I43" s="4">
        <v>775</v>
      </c>
      <c r="J43" s="4">
        <v>565</v>
      </c>
      <c r="K43" s="4">
        <v>615</v>
      </c>
      <c r="L43" s="4">
        <v>515</v>
      </c>
      <c r="M43" s="4">
        <v>714.92000000000007</v>
      </c>
      <c r="N43" s="4">
        <v>640.25</v>
      </c>
      <c r="O43" s="4">
        <v>1207.81</v>
      </c>
      <c r="P43" s="4">
        <v>774.10829999999999</v>
      </c>
    </row>
    <row r="44" spans="1:16">
      <c r="A44" s="46">
        <v>8</v>
      </c>
      <c r="B44" s="2" t="s">
        <v>105</v>
      </c>
      <c r="C44" s="2" t="s">
        <v>206</v>
      </c>
      <c r="D44" s="4">
        <v>8</v>
      </c>
      <c r="E44" s="4">
        <v>33</v>
      </c>
      <c r="F44" s="4">
        <v>138</v>
      </c>
      <c r="G44" s="4">
        <v>-60</v>
      </c>
      <c r="H44" s="4">
        <v>35</v>
      </c>
      <c r="I44" s="4">
        <v>88</v>
      </c>
      <c r="J44" s="4">
        <v>18</v>
      </c>
      <c r="K44" s="4">
        <v>66</v>
      </c>
      <c r="L44" s="4">
        <v>128</v>
      </c>
      <c r="M44" s="4">
        <v>83.08</v>
      </c>
      <c r="N44" s="4">
        <v>137.75</v>
      </c>
      <c r="O44" s="4">
        <v>141.19</v>
      </c>
      <c r="P44" s="4">
        <v>151</v>
      </c>
    </row>
    <row r="45" spans="1:16">
      <c r="A45" s="46">
        <v>8</v>
      </c>
      <c r="B45" s="2" t="s">
        <v>105</v>
      </c>
      <c r="C45" s="2" t="s">
        <v>207</v>
      </c>
      <c r="D45" s="4">
        <v>13</v>
      </c>
      <c r="E45" s="4">
        <v>24</v>
      </c>
      <c r="F45" s="4">
        <v>37.5</v>
      </c>
      <c r="G45" s="4">
        <v>60.784799999999997</v>
      </c>
      <c r="H45" s="4">
        <v>39</v>
      </c>
      <c r="I45" s="4">
        <v>26.5</v>
      </c>
      <c r="J45" s="4">
        <v>43.5</v>
      </c>
      <c r="K45" s="4">
        <v>53.192</v>
      </c>
      <c r="L45" s="4">
        <v>48.9</v>
      </c>
      <c r="M45" s="4">
        <v>45</v>
      </c>
      <c r="N45" s="4">
        <v>67.5</v>
      </c>
      <c r="O45" s="4">
        <v>67.5</v>
      </c>
      <c r="P45" s="4">
        <v>43.2</v>
      </c>
    </row>
    <row r="46" spans="1:16">
      <c r="A46" s="46">
        <v>9</v>
      </c>
      <c r="B46" s="2" t="s">
        <v>107</v>
      </c>
      <c r="C46" s="2" t="s">
        <v>202</v>
      </c>
      <c r="D46" s="4">
        <v>120</v>
      </c>
      <c r="E46" s="4">
        <v>153</v>
      </c>
      <c r="F46" s="4">
        <v>81</v>
      </c>
      <c r="G46" s="4">
        <v>214</v>
      </c>
      <c r="H46" s="4">
        <v>101</v>
      </c>
      <c r="I46" s="4">
        <v>119</v>
      </c>
      <c r="J46" s="4">
        <v>195.5</v>
      </c>
      <c r="K46" s="4">
        <v>103</v>
      </c>
      <c r="L46" s="4">
        <v>887.5625</v>
      </c>
      <c r="M46" s="4">
        <v>136.5</v>
      </c>
      <c r="N46" s="4">
        <v>199</v>
      </c>
      <c r="O46" s="4">
        <v>180</v>
      </c>
      <c r="P46" s="4">
        <v>87</v>
      </c>
    </row>
    <row r="47" spans="1:16">
      <c r="A47" s="46">
        <v>9</v>
      </c>
      <c r="B47" s="2" t="s">
        <v>107</v>
      </c>
      <c r="C47" s="2" t="s">
        <v>203</v>
      </c>
      <c r="D47" s="4">
        <v>600.5</v>
      </c>
      <c r="E47" s="4">
        <v>1328</v>
      </c>
      <c r="F47" s="4">
        <v>502</v>
      </c>
      <c r="G47" s="4">
        <v>340.5</v>
      </c>
      <c r="H47" s="4">
        <v>536</v>
      </c>
      <c r="I47" s="4">
        <v>173</v>
      </c>
      <c r="J47" s="4">
        <v>165</v>
      </c>
      <c r="K47" s="4">
        <v>341</v>
      </c>
      <c r="L47" s="4">
        <v>480.25</v>
      </c>
      <c r="M47" s="4">
        <v>426.5</v>
      </c>
      <c r="N47" s="4">
        <v>395</v>
      </c>
      <c r="O47" s="4">
        <v>503</v>
      </c>
      <c r="P47" s="4">
        <v>319</v>
      </c>
    </row>
    <row r="48" spans="1:16">
      <c r="A48" s="46">
        <v>9</v>
      </c>
      <c r="B48" s="2" t="s">
        <v>107</v>
      </c>
      <c r="C48" s="2" t="s">
        <v>204</v>
      </c>
      <c r="D48" s="4">
        <v>1757</v>
      </c>
      <c r="E48" s="4">
        <v>1102</v>
      </c>
      <c r="F48" s="4">
        <v>1040</v>
      </c>
      <c r="G48" s="4">
        <v>952</v>
      </c>
      <c r="H48" s="4">
        <v>2656</v>
      </c>
      <c r="I48" s="4">
        <v>707</v>
      </c>
      <c r="J48" s="4">
        <v>842</v>
      </c>
      <c r="K48" s="4">
        <v>1096</v>
      </c>
      <c r="L48" s="4">
        <v>923</v>
      </c>
      <c r="M48" s="4">
        <v>969</v>
      </c>
      <c r="N48" s="4">
        <v>795</v>
      </c>
      <c r="O48" s="4">
        <v>1569</v>
      </c>
      <c r="P48" s="4">
        <v>1534</v>
      </c>
    </row>
    <row r="49" spans="1:16">
      <c r="A49" s="46">
        <v>9</v>
      </c>
      <c r="B49" s="2" t="s">
        <v>107</v>
      </c>
      <c r="C49" s="2" t="s">
        <v>205</v>
      </c>
      <c r="D49" s="4">
        <v>1199</v>
      </c>
      <c r="E49" s="4">
        <v>743</v>
      </c>
      <c r="F49" s="4">
        <v>1193</v>
      </c>
      <c r="G49" s="4">
        <v>1021</v>
      </c>
      <c r="H49" s="4">
        <v>1260</v>
      </c>
      <c r="I49" s="4">
        <v>453</v>
      </c>
      <c r="J49" s="4">
        <v>700</v>
      </c>
      <c r="K49" s="4">
        <v>581</v>
      </c>
      <c r="L49" s="4">
        <v>1209.6875</v>
      </c>
      <c r="M49" s="4">
        <v>487</v>
      </c>
      <c r="N49" s="4">
        <v>682</v>
      </c>
      <c r="O49" s="4">
        <v>649</v>
      </c>
      <c r="P49" s="4">
        <v>1279</v>
      </c>
    </row>
    <row r="50" spans="1:16">
      <c r="A50" s="46">
        <v>9</v>
      </c>
      <c r="B50" s="2" t="s">
        <v>107</v>
      </c>
      <c r="C50" s="2" t="s">
        <v>206</v>
      </c>
      <c r="D50" s="4">
        <v>6</v>
      </c>
      <c r="E50" s="4">
        <v>93</v>
      </c>
      <c r="F50" s="4">
        <v>21</v>
      </c>
      <c r="G50" s="4">
        <v>52</v>
      </c>
      <c r="H50" s="4">
        <v>46</v>
      </c>
      <c r="I50" s="4">
        <v>19</v>
      </c>
      <c r="J50" s="4">
        <v>58</v>
      </c>
      <c r="K50" s="4">
        <v>66</v>
      </c>
      <c r="L50" s="4">
        <v>41</v>
      </c>
      <c r="M50" s="4">
        <v>255</v>
      </c>
      <c r="N50" s="4">
        <v>40</v>
      </c>
      <c r="O50" s="4">
        <v>32</v>
      </c>
      <c r="P50" s="4">
        <v>69</v>
      </c>
    </row>
    <row r="51" spans="1:16">
      <c r="A51" s="46">
        <v>9</v>
      </c>
      <c r="B51" s="2" t="s">
        <v>107</v>
      </c>
      <c r="C51" s="2" t="s">
        <v>207</v>
      </c>
      <c r="D51" s="4">
        <v>11.5</v>
      </c>
      <c r="E51" s="4">
        <v>15</v>
      </c>
      <c r="F51" s="4">
        <v>27</v>
      </c>
      <c r="G51" s="4">
        <v>107.5</v>
      </c>
      <c r="H51" s="4">
        <v>17</v>
      </c>
      <c r="I51" s="4">
        <v>44</v>
      </c>
      <c r="J51" s="4">
        <v>67.5</v>
      </c>
      <c r="K51" s="4">
        <v>27</v>
      </c>
      <c r="L51" s="4">
        <v>102.5</v>
      </c>
      <c r="M51" s="4">
        <v>35</v>
      </c>
      <c r="N51" s="4">
        <v>50</v>
      </c>
      <c r="O51" s="4">
        <v>30</v>
      </c>
      <c r="P51" s="4">
        <v>14</v>
      </c>
    </row>
    <row r="52" spans="1:16">
      <c r="A52" s="46">
        <v>10</v>
      </c>
      <c r="B52" s="2" t="s">
        <v>109</v>
      </c>
      <c r="C52" s="2" t="s">
        <v>202</v>
      </c>
      <c r="D52" s="4">
        <v>16</v>
      </c>
      <c r="E52" s="4">
        <v>40</v>
      </c>
      <c r="F52" s="4">
        <v>16</v>
      </c>
      <c r="G52" s="4">
        <v>26</v>
      </c>
      <c r="H52" s="4">
        <v>20</v>
      </c>
      <c r="I52" s="4">
        <v>26</v>
      </c>
      <c r="J52" s="4">
        <v>21.7592</v>
      </c>
      <c r="K52" s="4">
        <v>53.7</v>
      </c>
      <c r="L52" s="4">
        <v>38</v>
      </c>
      <c r="M52" s="4">
        <v>58.018000000000001</v>
      </c>
      <c r="N52" s="4">
        <v>36</v>
      </c>
      <c r="O52" s="4">
        <v>45</v>
      </c>
      <c r="P52" s="4">
        <v>37</v>
      </c>
    </row>
    <row r="53" spans="1:16">
      <c r="A53" s="46">
        <v>10</v>
      </c>
      <c r="B53" s="2" t="s">
        <v>109</v>
      </c>
      <c r="C53" s="2" t="s">
        <v>203</v>
      </c>
      <c r="D53" s="4">
        <v>70</v>
      </c>
      <c r="E53" s="4">
        <v>131</v>
      </c>
      <c r="F53" s="4">
        <v>171</v>
      </c>
      <c r="G53" s="4">
        <v>215</v>
      </c>
      <c r="H53" s="4">
        <v>95</v>
      </c>
      <c r="I53" s="4">
        <v>168</v>
      </c>
      <c r="J53" s="4">
        <v>228.54</v>
      </c>
      <c r="K53" s="4">
        <v>162</v>
      </c>
      <c r="L53" s="4">
        <v>143</v>
      </c>
      <c r="M53" s="4">
        <v>262</v>
      </c>
      <c r="N53" s="4">
        <v>177</v>
      </c>
      <c r="O53" s="4">
        <v>181</v>
      </c>
      <c r="P53" s="4">
        <v>203</v>
      </c>
    </row>
    <row r="54" spans="1:16">
      <c r="A54" s="46">
        <v>10</v>
      </c>
      <c r="B54" s="2" t="s">
        <v>109</v>
      </c>
      <c r="C54" s="2" t="s">
        <v>204</v>
      </c>
      <c r="D54" s="4">
        <v>133</v>
      </c>
      <c r="E54" s="4">
        <v>119</v>
      </c>
      <c r="F54" s="4">
        <v>106</v>
      </c>
      <c r="G54" s="4">
        <v>146</v>
      </c>
      <c r="H54" s="4">
        <v>162</v>
      </c>
      <c r="I54" s="4">
        <v>107</v>
      </c>
      <c r="J54" s="4">
        <v>134</v>
      </c>
      <c r="K54" s="4">
        <v>171</v>
      </c>
      <c r="L54" s="4">
        <v>173</v>
      </c>
      <c r="M54" s="4">
        <v>140</v>
      </c>
      <c r="N54" s="4">
        <v>126</v>
      </c>
      <c r="O54" s="4">
        <v>170</v>
      </c>
      <c r="P54" s="4">
        <v>153</v>
      </c>
    </row>
    <row r="55" spans="1:16">
      <c r="A55" s="46">
        <v>10</v>
      </c>
      <c r="B55" s="2" t="s">
        <v>109</v>
      </c>
      <c r="C55" s="2" t="s">
        <v>205</v>
      </c>
      <c r="D55" s="4">
        <v>56</v>
      </c>
      <c r="E55" s="4">
        <v>71</v>
      </c>
      <c r="F55" s="4">
        <v>111</v>
      </c>
      <c r="G55" s="4">
        <v>34</v>
      </c>
      <c r="H55" s="4">
        <v>66</v>
      </c>
      <c r="I55" s="4">
        <v>61</v>
      </c>
      <c r="J55" s="4">
        <v>85</v>
      </c>
      <c r="K55" s="4">
        <v>69.33</v>
      </c>
      <c r="L55" s="4">
        <v>137</v>
      </c>
      <c r="M55" s="4">
        <v>65</v>
      </c>
      <c r="N55" s="4">
        <v>484</v>
      </c>
      <c r="O55" s="4">
        <v>119</v>
      </c>
      <c r="P55" s="4">
        <v>90</v>
      </c>
    </row>
    <row r="56" spans="1:16">
      <c r="A56" s="46">
        <v>10</v>
      </c>
      <c r="B56" s="2" t="s">
        <v>109</v>
      </c>
      <c r="C56" s="2" t="s">
        <v>206</v>
      </c>
      <c r="D56" s="4">
        <v>8</v>
      </c>
      <c r="E56" s="4">
        <v>29</v>
      </c>
      <c r="F56" s="4">
        <v>32.94</v>
      </c>
      <c r="G56" s="4">
        <v>16.5</v>
      </c>
      <c r="H56" s="4">
        <v>11</v>
      </c>
      <c r="I56" s="4">
        <v>11</v>
      </c>
      <c r="J56" s="4">
        <v>24</v>
      </c>
      <c r="K56" s="4">
        <v>55.97</v>
      </c>
      <c r="L56" s="4">
        <v>10</v>
      </c>
      <c r="M56" s="4">
        <v>18.981999999999999</v>
      </c>
      <c r="N56" s="4">
        <v>28</v>
      </c>
      <c r="O56" s="4">
        <v>18</v>
      </c>
      <c r="P56" s="4">
        <v>46</v>
      </c>
    </row>
    <row r="57" spans="1:16">
      <c r="A57" s="46">
        <v>10</v>
      </c>
      <c r="B57" s="2" t="s">
        <v>109</v>
      </c>
      <c r="C57" s="2" t="s">
        <v>207</v>
      </c>
      <c r="D57" s="4">
        <v>4</v>
      </c>
      <c r="E57" s="4">
        <v>0</v>
      </c>
      <c r="F57" s="4">
        <v>3.06</v>
      </c>
      <c r="G57" s="4">
        <v>5.5</v>
      </c>
      <c r="H57" s="4">
        <v>1</v>
      </c>
      <c r="I57" s="4">
        <v>2</v>
      </c>
      <c r="J57" s="4">
        <v>2.7008000000000001</v>
      </c>
      <c r="K57" s="4">
        <v>6</v>
      </c>
      <c r="L57" s="4">
        <v>2</v>
      </c>
      <c r="M57" s="4">
        <v>1</v>
      </c>
      <c r="N57" s="4">
        <v>7</v>
      </c>
      <c r="O57" s="4">
        <v>-1</v>
      </c>
      <c r="P57" s="4">
        <v>1</v>
      </c>
    </row>
    <row r="58" spans="1:16">
      <c r="A58" s="46">
        <v>11</v>
      </c>
      <c r="B58" s="2" t="s">
        <v>111</v>
      </c>
      <c r="C58" s="2" t="s">
        <v>202</v>
      </c>
      <c r="D58" s="4">
        <v>16</v>
      </c>
      <c r="E58" s="4">
        <v>33</v>
      </c>
      <c r="F58" s="4">
        <v>23</v>
      </c>
      <c r="G58" s="4">
        <v>37</v>
      </c>
      <c r="H58" s="4">
        <v>22</v>
      </c>
      <c r="I58" s="4">
        <v>16</v>
      </c>
      <c r="J58" s="4">
        <v>20</v>
      </c>
      <c r="K58" s="4">
        <v>25.5</v>
      </c>
      <c r="L58" s="4">
        <v>12</v>
      </c>
      <c r="M58" s="4">
        <v>20</v>
      </c>
      <c r="N58" s="4">
        <v>45</v>
      </c>
      <c r="O58" s="4">
        <v>44</v>
      </c>
      <c r="P58" s="4">
        <v>16</v>
      </c>
    </row>
    <row r="59" spans="1:16">
      <c r="A59" s="46">
        <v>11</v>
      </c>
      <c r="B59" s="2" t="s">
        <v>111</v>
      </c>
      <c r="C59" s="2" t="s">
        <v>203</v>
      </c>
      <c r="D59" s="4">
        <v>43</v>
      </c>
      <c r="E59" s="4">
        <v>36</v>
      </c>
      <c r="F59" s="4">
        <v>60</v>
      </c>
      <c r="G59" s="4">
        <v>142</v>
      </c>
      <c r="H59" s="4">
        <v>12</v>
      </c>
      <c r="I59" s="4">
        <v>87</v>
      </c>
      <c r="J59" s="4">
        <v>39</v>
      </c>
      <c r="K59" s="4">
        <v>97</v>
      </c>
      <c r="L59" s="4">
        <v>21</v>
      </c>
      <c r="M59" s="4">
        <v>38</v>
      </c>
      <c r="N59" s="4">
        <v>67</v>
      </c>
      <c r="O59" s="4">
        <v>77</v>
      </c>
      <c r="P59" s="4">
        <v>44</v>
      </c>
    </row>
    <row r="60" spans="1:16">
      <c r="A60" s="46">
        <v>11</v>
      </c>
      <c r="B60" s="2" t="s">
        <v>111</v>
      </c>
      <c r="C60" s="2" t="s">
        <v>204</v>
      </c>
      <c r="D60" s="4">
        <v>47</v>
      </c>
      <c r="E60" s="4">
        <v>45</v>
      </c>
      <c r="F60" s="4">
        <v>102</v>
      </c>
      <c r="G60" s="4">
        <v>111</v>
      </c>
      <c r="H60" s="4">
        <v>64</v>
      </c>
      <c r="I60" s="4">
        <v>69</v>
      </c>
      <c r="J60" s="4">
        <v>117</v>
      </c>
      <c r="K60" s="4">
        <v>53</v>
      </c>
      <c r="L60" s="4">
        <v>91</v>
      </c>
      <c r="M60" s="4">
        <v>80</v>
      </c>
      <c r="N60" s="4">
        <v>117</v>
      </c>
      <c r="O60" s="4">
        <v>104</v>
      </c>
      <c r="P60" s="4">
        <v>113</v>
      </c>
    </row>
    <row r="61" spans="1:16">
      <c r="A61" s="46">
        <v>11</v>
      </c>
      <c r="B61" s="2" t="s">
        <v>111</v>
      </c>
      <c r="C61" s="2" t="s">
        <v>205</v>
      </c>
      <c r="D61" s="4">
        <v>53</v>
      </c>
      <c r="E61" s="4">
        <v>13</v>
      </c>
      <c r="F61" s="4">
        <v>68</v>
      </c>
      <c r="G61" s="4">
        <v>94</v>
      </c>
      <c r="H61" s="4">
        <v>68</v>
      </c>
      <c r="I61" s="4">
        <v>63</v>
      </c>
      <c r="J61" s="4">
        <v>51</v>
      </c>
      <c r="K61" s="4">
        <v>64.5</v>
      </c>
      <c r="L61" s="4">
        <v>31</v>
      </c>
      <c r="M61" s="4">
        <v>71</v>
      </c>
      <c r="N61" s="4">
        <v>58</v>
      </c>
      <c r="O61" s="4">
        <v>57</v>
      </c>
      <c r="P61" s="4">
        <v>46</v>
      </c>
    </row>
    <row r="62" spans="1:16">
      <c r="A62" s="46">
        <v>11</v>
      </c>
      <c r="B62" s="2" t="s">
        <v>111</v>
      </c>
      <c r="C62" s="2" t="s">
        <v>206</v>
      </c>
      <c r="D62" s="4">
        <v>6</v>
      </c>
      <c r="E62" s="4">
        <v>20</v>
      </c>
      <c r="F62" s="4">
        <v>5</v>
      </c>
      <c r="G62" s="4">
        <v>58</v>
      </c>
      <c r="H62" s="4">
        <v>6</v>
      </c>
      <c r="I62" s="4">
        <v>4</v>
      </c>
      <c r="J62" s="4">
        <v>2</v>
      </c>
      <c r="K62" s="4">
        <v>22</v>
      </c>
      <c r="L62" s="4">
        <v>8</v>
      </c>
      <c r="M62" s="4">
        <v>25</v>
      </c>
      <c r="N62" s="4">
        <v>20</v>
      </c>
      <c r="O62" s="4">
        <v>50</v>
      </c>
      <c r="P62" s="4">
        <v>33</v>
      </c>
    </row>
    <row r="63" spans="1:16">
      <c r="A63" s="46">
        <v>11</v>
      </c>
      <c r="B63" s="2" t="s">
        <v>111</v>
      </c>
      <c r="C63" s="2" t="s">
        <v>207</v>
      </c>
      <c r="D63" s="4">
        <v>0</v>
      </c>
      <c r="E63" s="4">
        <v>3</v>
      </c>
      <c r="F63" s="4">
        <v>0</v>
      </c>
      <c r="G63" s="4">
        <v>2</v>
      </c>
      <c r="H63" s="4">
        <v>1</v>
      </c>
      <c r="I63" s="4">
        <v>2</v>
      </c>
      <c r="J63" s="4">
        <v>0</v>
      </c>
      <c r="K63" s="4">
        <v>2</v>
      </c>
      <c r="L63" s="4">
        <v>0</v>
      </c>
      <c r="M63" s="4">
        <v>2</v>
      </c>
      <c r="N63" s="4">
        <v>0</v>
      </c>
      <c r="O63" s="4">
        <v>0</v>
      </c>
      <c r="P63" s="4">
        <v>0</v>
      </c>
    </row>
    <row r="64" spans="1:16">
      <c r="A64" s="46">
        <v>12</v>
      </c>
      <c r="B64" s="2" t="s">
        <v>113</v>
      </c>
      <c r="C64" s="2" t="s">
        <v>202</v>
      </c>
      <c r="D64" s="4">
        <v>398</v>
      </c>
      <c r="E64" s="4">
        <v>466</v>
      </c>
      <c r="F64" s="4">
        <v>607</v>
      </c>
      <c r="G64" s="4">
        <v>619.5</v>
      </c>
      <c r="H64" s="4">
        <v>623.4</v>
      </c>
      <c r="I64" s="4">
        <v>1103</v>
      </c>
      <c r="J64" s="4">
        <v>928</v>
      </c>
      <c r="K64" s="4">
        <v>770.5</v>
      </c>
      <c r="L64" s="4">
        <v>987</v>
      </c>
      <c r="M64" s="4">
        <v>747.75</v>
      </c>
      <c r="N64" s="4">
        <v>591</v>
      </c>
      <c r="O64" s="4">
        <v>1048.5</v>
      </c>
      <c r="P64" s="4">
        <v>589.5</v>
      </c>
    </row>
    <row r="65" spans="1:16">
      <c r="A65" s="46">
        <v>12</v>
      </c>
      <c r="B65" s="2" t="s">
        <v>113</v>
      </c>
      <c r="C65" s="2" t="s">
        <v>203</v>
      </c>
      <c r="D65" s="4">
        <v>1178</v>
      </c>
      <c r="E65" s="4">
        <v>1006.5</v>
      </c>
      <c r="F65" s="4">
        <v>2157</v>
      </c>
      <c r="G65" s="4">
        <v>854</v>
      </c>
      <c r="H65" s="4">
        <v>1214</v>
      </c>
      <c r="I65" s="4">
        <v>819</v>
      </c>
      <c r="J65" s="4">
        <v>871</v>
      </c>
      <c r="K65" s="4">
        <v>1238</v>
      </c>
      <c r="L65" s="4">
        <v>1031</v>
      </c>
      <c r="M65" s="4">
        <v>917.25</v>
      </c>
      <c r="N65" s="4">
        <v>982</v>
      </c>
      <c r="O65" s="4">
        <v>979</v>
      </c>
      <c r="P65" s="4">
        <v>1484.5</v>
      </c>
    </row>
    <row r="66" spans="1:16">
      <c r="A66" s="46">
        <v>12</v>
      </c>
      <c r="B66" s="2" t="s">
        <v>113</v>
      </c>
      <c r="C66" s="2" t="s">
        <v>204</v>
      </c>
      <c r="D66" s="4">
        <v>3142</v>
      </c>
      <c r="E66" s="4">
        <v>2547</v>
      </c>
      <c r="F66" s="4">
        <v>487</v>
      </c>
      <c r="G66" s="4">
        <v>2666</v>
      </c>
      <c r="H66" s="4">
        <v>2303</v>
      </c>
      <c r="I66" s="4">
        <v>2322</v>
      </c>
      <c r="J66" s="4">
        <v>1807</v>
      </c>
      <c r="K66" s="4">
        <v>2416</v>
      </c>
      <c r="L66" s="4">
        <v>1608</v>
      </c>
      <c r="M66" s="4">
        <v>2979</v>
      </c>
      <c r="N66" s="4">
        <v>2591</v>
      </c>
      <c r="O66" s="4">
        <v>1978</v>
      </c>
      <c r="P66" s="4">
        <v>1455</v>
      </c>
    </row>
    <row r="67" spans="1:16">
      <c r="A67" s="46">
        <v>12</v>
      </c>
      <c r="B67" s="2" t="s">
        <v>113</v>
      </c>
      <c r="C67" s="2" t="s">
        <v>205</v>
      </c>
      <c r="D67" s="4">
        <v>281</v>
      </c>
      <c r="E67" s="4">
        <v>567</v>
      </c>
      <c r="F67" s="4">
        <v>768</v>
      </c>
      <c r="G67" s="4">
        <v>1060</v>
      </c>
      <c r="H67" s="4">
        <v>598</v>
      </c>
      <c r="I67" s="4">
        <v>597</v>
      </c>
      <c r="J67" s="4">
        <v>492</v>
      </c>
      <c r="K67" s="4">
        <v>850</v>
      </c>
      <c r="L67" s="4">
        <v>397</v>
      </c>
      <c r="M67" s="4">
        <v>371</v>
      </c>
      <c r="N67" s="4">
        <v>464.3186</v>
      </c>
      <c r="O67" s="4">
        <v>248</v>
      </c>
      <c r="P67" s="4">
        <v>305</v>
      </c>
    </row>
    <row r="68" spans="1:16">
      <c r="A68" s="46">
        <v>12</v>
      </c>
      <c r="B68" s="2" t="s">
        <v>113</v>
      </c>
      <c r="C68" s="2" t="s">
        <v>206</v>
      </c>
      <c r="D68" s="4">
        <v>102</v>
      </c>
      <c r="E68" s="4">
        <v>36</v>
      </c>
      <c r="F68" s="4">
        <v>52</v>
      </c>
      <c r="G68" s="4">
        <v>32</v>
      </c>
      <c r="H68" s="4">
        <v>104</v>
      </c>
      <c r="I68" s="4">
        <v>83</v>
      </c>
      <c r="J68" s="4">
        <v>102</v>
      </c>
      <c r="K68" s="4">
        <v>6</v>
      </c>
      <c r="L68" s="4">
        <v>55</v>
      </c>
      <c r="M68" s="4">
        <v>39</v>
      </c>
      <c r="N68" s="4">
        <v>45.681399999999996</v>
      </c>
      <c r="O68" s="4">
        <v>17</v>
      </c>
      <c r="P68" s="4">
        <v>28</v>
      </c>
    </row>
    <row r="69" spans="1:16">
      <c r="A69" s="46">
        <v>12</v>
      </c>
      <c r="B69" s="2" t="s">
        <v>113</v>
      </c>
      <c r="C69" s="2" t="s">
        <v>207</v>
      </c>
      <c r="D69" s="4">
        <v>75</v>
      </c>
      <c r="E69" s="4">
        <v>66.5</v>
      </c>
      <c r="F69" s="4">
        <v>129</v>
      </c>
      <c r="G69" s="4">
        <v>113.5</v>
      </c>
      <c r="H69" s="4">
        <v>76.599999999999994</v>
      </c>
      <c r="I69" s="4">
        <v>109</v>
      </c>
      <c r="J69" s="4">
        <v>191</v>
      </c>
      <c r="K69" s="4">
        <v>107.5</v>
      </c>
      <c r="L69" s="4">
        <v>92</v>
      </c>
      <c r="M69" s="4">
        <v>110</v>
      </c>
      <c r="N69" s="4">
        <v>97</v>
      </c>
      <c r="O69" s="4">
        <v>85.5</v>
      </c>
      <c r="P69" s="4">
        <v>20</v>
      </c>
    </row>
    <row r="70" spans="1:16">
      <c r="A70" s="46">
        <v>13</v>
      </c>
      <c r="B70" s="2" t="s">
        <v>115</v>
      </c>
      <c r="C70" s="2" t="s">
        <v>202</v>
      </c>
      <c r="D70" s="4">
        <v>57</v>
      </c>
      <c r="E70" s="4">
        <v>34</v>
      </c>
      <c r="F70" s="4">
        <v>41</v>
      </c>
      <c r="G70" s="4">
        <v>87.882800000000003</v>
      </c>
      <c r="H70" s="4">
        <v>23</v>
      </c>
      <c r="I70" s="4">
        <v>84</v>
      </c>
      <c r="J70" s="4">
        <v>79</v>
      </c>
      <c r="K70" s="4">
        <v>51</v>
      </c>
      <c r="L70" s="4">
        <v>13</v>
      </c>
      <c r="M70" s="4">
        <v>45.5</v>
      </c>
      <c r="N70" s="4">
        <v>34</v>
      </c>
      <c r="O70" s="4">
        <v>85</v>
      </c>
      <c r="P70" s="4">
        <v>43</v>
      </c>
    </row>
    <row r="71" spans="1:16">
      <c r="A71" s="46">
        <v>13</v>
      </c>
      <c r="B71" s="2" t="s">
        <v>115</v>
      </c>
      <c r="C71" s="2" t="s">
        <v>203</v>
      </c>
      <c r="D71" s="4">
        <v>142</v>
      </c>
      <c r="E71" s="4">
        <v>92</v>
      </c>
      <c r="F71" s="4">
        <v>64</v>
      </c>
      <c r="G71" s="4">
        <v>102.6172</v>
      </c>
      <c r="H71" s="4">
        <v>87</v>
      </c>
      <c r="I71" s="4">
        <v>130</v>
      </c>
      <c r="J71" s="4">
        <v>66</v>
      </c>
      <c r="K71" s="4">
        <v>119</v>
      </c>
      <c r="L71" s="4">
        <v>78</v>
      </c>
      <c r="M71" s="4">
        <v>81</v>
      </c>
      <c r="N71" s="4">
        <v>92</v>
      </c>
      <c r="O71" s="4">
        <v>83</v>
      </c>
      <c r="P71" s="4">
        <v>53</v>
      </c>
    </row>
    <row r="72" spans="1:16">
      <c r="A72" s="46">
        <v>13</v>
      </c>
      <c r="B72" s="2" t="s">
        <v>115</v>
      </c>
      <c r="C72" s="2" t="s">
        <v>204</v>
      </c>
      <c r="D72" s="4">
        <v>485</v>
      </c>
      <c r="E72" s="4">
        <v>199</v>
      </c>
      <c r="F72" s="4">
        <v>50</v>
      </c>
      <c r="G72" s="4">
        <v>155</v>
      </c>
      <c r="H72" s="4">
        <v>120</v>
      </c>
      <c r="I72" s="4">
        <v>112</v>
      </c>
      <c r="J72" s="4">
        <v>371</v>
      </c>
      <c r="K72" s="4">
        <v>280</v>
      </c>
      <c r="L72" s="4">
        <v>640</v>
      </c>
      <c r="M72" s="4">
        <v>270</v>
      </c>
      <c r="N72" s="4">
        <v>310</v>
      </c>
      <c r="O72" s="4">
        <v>240</v>
      </c>
      <c r="P72" s="4">
        <v>175</v>
      </c>
    </row>
    <row r="73" spans="1:16">
      <c r="A73" s="46">
        <v>13</v>
      </c>
      <c r="B73" s="2" t="s">
        <v>115</v>
      </c>
      <c r="C73" s="2" t="s">
        <v>205</v>
      </c>
      <c r="D73" s="4">
        <v>96</v>
      </c>
      <c r="E73" s="4">
        <v>119</v>
      </c>
      <c r="F73" s="4">
        <v>204</v>
      </c>
      <c r="G73" s="4">
        <v>130</v>
      </c>
      <c r="H73" s="4">
        <v>215</v>
      </c>
      <c r="I73" s="4">
        <v>165</v>
      </c>
      <c r="J73" s="4">
        <v>182</v>
      </c>
      <c r="K73" s="4">
        <v>107</v>
      </c>
      <c r="L73" s="4">
        <v>159</v>
      </c>
      <c r="M73" s="4">
        <v>158</v>
      </c>
      <c r="N73" s="4">
        <v>107</v>
      </c>
      <c r="O73" s="4">
        <v>264</v>
      </c>
      <c r="P73" s="4">
        <v>184</v>
      </c>
    </row>
    <row r="74" spans="1:16">
      <c r="A74" s="46">
        <v>13</v>
      </c>
      <c r="B74" s="2" t="s">
        <v>115</v>
      </c>
      <c r="C74" s="2" t="s">
        <v>206</v>
      </c>
      <c r="D74" s="4">
        <v>50</v>
      </c>
      <c r="E74" s="4">
        <v>50</v>
      </c>
      <c r="F74" s="4">
        <v>20</v>
      </c>
      <c r="G74" s="4">
        <v>31</v>
      </c>
      <c r="H74" s="4">
        <v>18</v>
      </c>
      <c r="I74" s="4">
        <v>26</v>
      </c>
      <c r="J74" s="4">
        <v>9</v>
      </c>
      <c r="K74" s="4">
        <v>147</v>
      </c>
      <c r="L74" s="4">
        <v>35</v>
      </c>
      <c r="M74" s="4">
        <v>83</v>
      </c>
      <c r="N74" s="4">
        <v>19</v>
      </c>
      <c r="O74" s="4">
        <v>40</v>
      </c>
      <c r="P74" s="4">
        <v>90</v>
      </c>
    </row>
    <row r="75" spans="1:16">
      <c r="A75" s="46">
        <v>13</v>
      </c>
      <c r="B75" s="2" t="s">
        <v>115</v>
      </c>
      <c r="C75" s="2" t="s">
        <v>207</v>
      </c>
      <c r="D75" s="4">
        <v>2</v>
      </c>
      <c r="E75" s="4">
        <v>2</v>
      </c>
      <c r="F75" s="4">
        <v>5</v>
      </c>
      <c r="G75" s="4">
        <v>21.5</v>
      </c>
      <c r="H75" s="4">
        <v>8</v>
      </c>
      <c r="I75" s="4">
        <v>9</v>
      </c>
      <c r="J75" s="4">
        <v>8</v>
      </c>
      <c r="K75" s="4">
        <v>9</v>
      </c>
      <c r="L75" s="4">
        <v>2</v>
      </c>
      <c r="M75" s="4">
        <v>7.5</v>
      </c>
      <c r="N75" s="4">
        <v>2</v>
      </c>
      <c r="O75" s="4">
        <v>6</v>
      </c>
      <c r="P75" s="4">
        <v>1</v>
      </c>
    </row>
    <row r="76" spans="1:16">
      <c r="A76" s="46">
        <v>14</v>
      </c>
      <c r="B76" s="2" t="s">
        <v>117</v>
      </c>
      <c r="C76" s="2" t="s">
        <v>202</v>
      </c>
      <c r="D76" s="3"/>
      <c r="E76" s="3"/>
      <c r="F76" s="3"/>
      <c r="G76" s="3"/>
      <c r="H76" s="3"/>
      <c r="I76" s="4">
        <v>258</v>
      </c>
      <c r="J76" s="4">
        <v>161</v>
      </c>
      <c r="K76" s="4">
        <v>284.5</v>
      </c>
      <c r="L76" s="4">
        <v>652.5</v>
      </c>
      <c r="M76" s="4">
        <v>1516.5</v>
      </c>
      <c r="N76" s="4">
        <v>795</v>
      </c>
      <c r="O76" s="4">
        <v>1377.8</v>
      </c>
      <c r="P76" s="4">
        <v>1132.5</v>
      </c>
    </row>
    <row r="77" spans="1:16">
      <c r="A77" s="46">
        <v>14</v>
      </c>
      <c r="B77" s="2" t="s">
        <v>117</v>
      </c>
      <c r="C77" s="2" t="s">
        <v>203</v>
      </c>
      <c r="D77" s="3"/>
      <c r="E77" s="3"/>
      <c r="F77" s="3"/>
      <c r="G77" s="3"/>
      <c r="H77" s="3"/>
      <c r="I77" s="4">
        <v>1</v>
      </c>
      <c r="J77" s="4">
        <v>128</v>
      </c>
      <c r="K77" s="4">
        <v>575.5</v>
      </c>
      <c r="L77" s="4">
        <v>281</v>
      </c>
      <c r="M77" s="4">
        <v>1398.5</v>
      </c>
      <c r="N77" s="4">
        <v>476.5</v>
      </c>
      <c r="O77" s="4">
        <v>1195.2</v>
      </c>
      <c r="P77" s="4">
        <v>1595.25</v>
      </c>
    </row>
    <row r="78" spans="1:16">
      <c r="A78" s="46">
        <v>14</v>
      </c>
      <c r="B78" s="2" t="s">
        <v>117</v>
      </c>
      <c r="C78" s="2" t="s">
        <v>204</v>
      </c>
      <c r="D78" s="3"/>
      <c r="E78" s="3"/>
      <c r="F78" s="3"/>
      <c r="G78" s="3"/>
      <c r="H78" s="3"/>
      <c r="I78" s="4">
        <v>98</v>
      </c>
      <c r="J78" s="4">
        <v>135</v>
      </c>
      <c r="K78" s="4">
        <v>1022</v>
      </c>
      <c r="L78" s="4">
        <v>1600</v>
      </c>
      <c r="M78" s="4">
        <v>1662</v>
      </c>
      <c r="N78" s="4">
        <v>1496</v>
      </c>
      <c r="O78" s="4">
        <v>3448</v>
      </c>
      <c r="P78" s="4">
        <v>2011</v>
      </c>
    </row>
    <row r="79" spans="1:16">
      <c r="A79" s="46">
        <v>14</v>
      </c>
      <c r="B79" s="2" t="s">
        <v>117</v>
      </c>
      <c r="C79" s="2" t="s">
        <v>205</v>
      </c>
      <c r="D79" s="3"/>
      <c r="E79" s="3"/>
      <c r="F79" s="3"/>
      <c r="G79" s="3"/>
      <c r="H79" s="3"/>
      <c r="I79" s="3"/>
      <c r="J79" s="4">
        <v>70</v>
      </c>
      <c r="K79" s="4">
        <v>144</v>
      </c>
      <c r="L79" s="4">
        <v>606</v>
      </c>
      <c r="M79" s="4">
        <v>545</v>
      </c>
      <c r="N79" s="4">
        <v>488</v>
      </c>
      <c r="O79" s="4">
        <v>1355</v>
      </c>
      <c r="P79" s="4">
        <v>893</v>
      </c>
    </row>
    <row r="80" spans="1:16">
      <c r="A80" s="46">
        <v>14</v>
      </c>
      <c r="B80" s="2" t="s">
        <v>117</v>
      </c>
      <c r="C80" s="2" t="s">
        <v>206</v>
      </c>
      <c r="D80" s="3"/>
      <c r="E80" s="3"/>
      <c r="F80" s="3"/>
      <c r="G80" s="3"/>
      <c r="H80" s="3"/>
      <c r="I80" s="4">
        <v>1</v>
      </c>
      <c r="J80" s="4">
        <v>9</v>
      </c>
      <c r="K80" s="4">
        <v>12</v>
      </c>
      <c r="L80" s="4">
        <v>41</v>
      </c>
      <c r="M80" s="4">
        <v>23</v>
      </c>
      <c r="N80" s="4">
        <v>397</v>
      </c>
      <c r="O80" s="4">
        <v>190</v>
      </c>
      <c r="P80" s="4">
        <v>20</v>
      </c>
    </row>
    <row r="81" spans="1:16">
      <c r="A81" s="46">
        <v>14</v>
      </c>
      <c r="B81" s="2" t="s">
        <v>117</v>
      </c>
      <c r="C81" s="2" t="s">
        <v>207</v>
      </c>
      <c r="D81" s="3"/>
      <c r="E81" s="3"/>
      <c r="F81" s="3"/>
      <c r="G81" s="3"/>
      <c r="H81" s="3"/>
      <c r="I81" s="4">
        <v>140</v>
      </c>
      <c r="J81" s="4">
        <v>21</v>
      </c>
      <c r="K81" s="4">
        <v>181</v>
      </c>
      <c r="L81" s="4">
        <v>10.5</v>
      </c>
      <c r="M81" s="4">
        <v>34</v>
      </c>
      <c r="N81" s="4">
        <v>57.5</v>
      </c>
      <c r="O81" s="4">
        <v>154</v>
      </c>
      <c r="P81" s="4">
        <v>78.25</v>
      </c>
    </row>
    <row r="82" spans="1:16">
      <c r="A82" s="46">
        <v>15</v>
      </c>
      <c r="B82" s="2" t="s">
        <v>119</v>
      </c>
      <c r="C82" s="2" t="s">
        <v>202</v>
      </c>
      <c r="D82" s="4">
        <v>25.82</v>
      </c>
      <c r="E82" s="4">
        <v>28</v>
      </c>
      <c r="F82" s="4">
        <v>41</v>
      </c>
      <c r="G82" s="4">
        <v>36</v>
      </c>
      <c r="H82" s="4">
        <v>13</v>
      </c>
      <c r="I82" s="4">
        <v>32</v>
      </c>
      <c r="J82" s="4">
        <v>57</v>
      </c>
      <c r="K82" s="4">
        <v>29</v>
      </c>
      <c r="L82" s="4">
        <v>24</v>
      </c>
      <c r="M82" s="4">
        <v>44</v>
      </c>
      <c r="N82" s="4">
        <v>67</v>
      </c>
      <c r="O82" s="4">
        <v>43</v>
      </c>
      <c r="P82" s="4">
        <v>38</v>
      </c>
    </row>
    <row r="83" spans="1:16">
      <c r="A83" s="46">
        <v>15</v>
      </c>
      <c r="B83" s="2" t="s">
        <v>119</v>
      </c>
      <c r="C83" s="2" t="s">
        <v>203</v>
      </c>
      <c r="D83" s="4">
        <v>14</v>
      </c>
      <c r="E83" s="4">
        <v>62</v>
      </c>
      <c r="F83" s="4">
        <v>36</v>
      </c>
      <c r="G83" s="4">
        <v>64</v>
      </c>
      <c r="H83" s="4">
        <v>19</v>
      </c>
      <c r="I83" s="4">
        <v>17</v>
      </c>
      <c r="J83" s="4">
        <v>67</v>
      </c>
      <c r="K83" s="4">
        <v>65</v>
      </c>
      <c r="L83" s="4">
        <v>15</v>
      </c>
      <c r="M83" s="4">
        <v>63</v>
      </c>
      <c r="N83" s="4">
        <v>53</v>
      </c>
      <c r="O83" s="4">
        <v>27</v>
      </c>
      <c r="P83" s="4">
        <v>28</v>
      </c>
    </row>
    <row r="84" spans="1:16">
      <c r="A84" s="46">
        <v>15</v>
      </c>
      <c r="B84" s="2" t="s">
        <v>119</v>
      </c>
      <c r="C84" s="2" t="s">
        <v>204</v>
      </c>
      <c r="D84" s="4">
        <v>49</v>
      </c>
      <c r="E84" s="4">
        <v>64</v>
      </c>
      <c r="F84" s="4">
        <v>91</v>
      </c>
      <c r="G84" s="4">
        <v>121</v>
      </c>
      <c r="H84" s="4">
        <v>85</v>
      </c>
      <c r="I84" s="4">
        <v>71</v>
      </c>
      <c r="J84" s="4">
        <v>89</v>
      </c>
      <c r="K84" s="4">
        <v>159</v>
      </c>
      <c r="L84" s="4">
        <v>97</v>
      </c>
      <c r="M84" s="4">
        <v>124</v>
      </c>
      <c r="N84" s="4">
        <v>124</v>
      </c>
      <c r="O84" s="4">
        <v>139</v>
      </c>
      <c r="P84" s="4">
        <v>126</v>
      </c>
    </row>
    <row r="85" spans="1:16">
      <c r="A85" s="46">
        <v>15</v>
      </c>
      <c r="B85" s="2" t="s">
        <v>119</v>
      </c>
      <c r="C85" s="2" t="s">
        <v>205</v>
      </c>
      <c r="D85" s="4">
        <v>23</v>
      </c>
      <c r="E85" s="4">
        <v>58</v>
      </c>
      <c r="F85" s="4">
        <v>37</v>
      </c>
      <c r="G85" s="4">
        <v>57</v>
      </c>
      <c r="H85" s="4">
        <v>66</v>
      </c>
      <c r="I85" s="4">
        <v>40</v>
      </c>
      <c r="J85" s="4">
        <v>73</v>
      </c>
      <c r="K85" s="4">
        <v>70</v>
      </c>
      <c r="L85" s="4">
        <v>16</v>
      </c>
      <c r="M85" s="4">
        <v>72</v>
      </c>
      <c r="N85" s="4">
        <v>83</v>
      </c>
      <c r="O85" s="4">
        <v>132</v>
      </c>
      <c r="P85" s="4">
        <v>108</v>
      </c>
    </row>
    <row r="86" spans="1:16">
      <c r="A86" s="46">
        <v>15</v>
      </c>
      <c r="B86" s="2" t="s">
        <v>119</v>
      </c>
      <c r="C86" s="2" t="s">
        <v>206</v>
      </c>
      <c r="D86" s="4">
        <v>8</v>
      </c>
      <c r="E86" s="4">
        <v>7</v>
      </c>
      <c r="F86" s="4">
        <v>26</v>
      </c>
      <c r="G86" s="4">
        <v>9</v>
      </c>
      <c r="H86" s="4">
        <v>7</v>
      </c>
      <c r="I86" s="4">
        <v>13</v>
      </c>
      <c r="J86" s="4">
        <v>28</v>
      </c>
      <c r="K86" s="4">
        <v>6</v>
      </c>
      <c r="L86" s="4">
        <v>3</v>
      </c>
      <c r="M86" s="4">
        <v>8</v>
      </c>
      <c r="N86" s="4">
        <v>26.5</v>
      </c>
      <c r="O86" s="4">
        <v>6</v>
      </c>
      <c r="P86" s="4">
        <v>24</v>
      </c>
    </row>
    <row r="87" spans="1:16">
      <c r="A87" s="46">
        <v>15</v>
      </c>
      <c r="B87" s="2" t="s">
        <v>119</v>
      </c>
      <c r="C87" s="2" t="s">
        <v>207</v>
      </c>
      <c r="D87" s="4">
        <v>6.18</v>
      </c>
      <c r="E87" s="4">
        <v>2</v>
      </c>
      <c r="F87" s="4">
        <v>11</v>
      </c>
      <c r="G87" s="4">
        <v>0</v>
      </c>
      <c r="H87" s="4">
        <v>2</v>
      </c>
      <c r="I87" s="4">
        <v>2</v>
      </c>
      <c r="J87" s="4">
        <v>0</v>
      </c>
      <c r="K87" s="4">
        <v>0</v>
      </c>
      <c r="L87" s="4">
        <v>2</v>
      </c>
      <c r="M87" s="4">
        <v>1</v>
      </c>
      <c r="N87" s="4">
        <v>2.5</v>
      </c>
      <c r="O87" s="4">
        <v>2</v>
      </c>
      <c r="P87" s="4">
        <v>0</v>
      </c>
    </row>
    <row r="88" spans="1:16">
      <c r="A88" s="46">
        <v>16</v>
      </c>
      <c r="B88" s="2" t="s">
        <v>121</v>
      </c>
      <c r="C88" s="2" t="s">
        <v>202</v>
      </c>
      <c r="D88" s="4">
        <v>29</v>
      </c>
      <c r="E88" s="4">
        <v>55</v>
      </c>
      <c r="F88" s="4">
        <v>116</v>
      </c>
      <c r="G88" s="4">
        <v>252</v>
      </c>
      <c r="H88" s="4">
        <v>196</v>
      </c>
      <c r="I88" s="4">
        <v>154.5</v>
      </c>
      <c r="J88" s="4">
        <v>166</v>
      </c>
      <c r="K88" s="4">
        <v>414.89699999999999</v>
      </c>
      <c r="L88" s="4">
        <v>336</v>
      </c>
      <c r="M88" s="4">
        <v>364</v>
      </c>
      <c r="N88" s="4">
        <v>418</v>
      </c>
      <c r="O88" s="4">
        <v>259.5</v>
      </c>
      <c r="P88" s="4">
        <v>174</v>
      </c>
    </row>
    <row r="89" spans="1:16">
      <c r="A89" s="46">
        <v>16</v>
      </c>
      <c r="B89" s="2" t="s">
        <v>121</v>
      </c>
      <c r="C89" s="2" t="s">
        <v>203</v>
      </c>
      <c r="D89" s="4">
        <v>647</v>
      </c>
      <c r="E89" s="4">
        <v>72</v>
      </c>
      <c r="F89" s="4">
        <v>1653</v>
      </c>
      <c r="G89" s="4">
        <v>317</v>
      </c>
      <c r="H89" s="4">
        <v>137</v>
      </c>
      <c r="I89" s="4">
        <v>92.5</v>
      </c>
      <c r="J89" s="4">
        <v>81</v>
      </c>
      <c r="K89" s="4">
        <v>119</v>
      </c>
      <c r="L89" s="4">
        <v>241</v>
      </c>
      <c r="M89" s="4">
        <v>318</v>
      </c>
      <c r="N89" s="4">
        <v>69</v>
      </c>
      <c r="O89" s="4">
        <v>75</v>
      </c>
      <c r="P89" s="4">
        <v>349</v>
      </c>
    </row>
    <row r="90" spans="1:16">
      <c r="A90" s="46">
        <v>16</v>
      </c>
      <c r="B90" s="2" t="s">
        <v>121</v>
      </c>
      <c r="C90" s="2" t="s">
        <v>204</v>
      </c>
      <c r="D90" s="4">
        <v>654</v>
      </c>
      <c r="E90" s="4">
        <v>1047</v>
      </c>
      <c r="F90" s="4">
        <v>659</v>
      </c>
      <c r="G90" s="4">
        <v>954</v>
      </c>
      <c r="H90" s="4">
        <v>750</v>
      </c>
      <c r="I90" s="4">
        <v>749</v>
      </c>
      <c r="J90" s="4">
        <v>911</v>
      </c>
      <c r="K90" s="4">
        <v>938</v>
      </c>
      <c r="L90" s="4">
        <v>494</v>
      </c>
      <c r="M90" s="4">
        <v>1288</v>
      </c>
      <c r="N90" s="4">
        <v>1425</v>
      </c>
      <c r="O90" s="4">
        <v>1153</v>
      </c>
      <c r="P90" s="4">
        <v>958</v>
      </c>
    </row>
    <row r="91" spans="1:16">
      <c r="A91" s="46">
        <v>16</v>
      </c>
      <c r="B91" s="2" t="s">
        <v>121</v>
      </c>
      <c r="C91" s="2" t="s">
        <v>205</v>
      </c>
      <c r="D91" s="4">
        <v>93</v>
      </c>
      <c r="E91" s="4">
        <v>174</v>
      </c>
      <c r="F91" s="4">
        <v>95</v>
      </c>
      <c r="G91" s="4">
        <v>79</v>
      </c>
      <c r="H91" s="4">
        <v>66</v>
      </c>
      <c r="I91" s="4">
        <v>95</v>
      </c>
      <c r="J91" s="4">
        <v>143</v>
      </c>
      <c r="K91" s="4">
        <v>456</v>
      </c>
      <c r="L91" s="4">
        <v>346</v>
      </c>
      <c r="M91" s="4">
        <v>196</v>
      </c>
      <c r="N91" s="4">
        <v>947</v>
      </c>
      <c r="O91" s="4">
        <v>171</v>
      </c>
      <c r="P91" s="4">
        <v>203</v>
      </c>
    </row>
    <row r="92" spans="1:16">
      <c r="A92" s="46">
        <v>16</v>
      </c>
      <c r="B92" s="2" t="s">
        <v>121</v>
      </c>
      <c r="C92" s="2" t="s">
        <v>206</v>
      </c>
      <c r="D92" s="4">
        <v>10</v>
      </c>
      <c r="E92" s="4">
        <v>0</v>
      </c>
      <c r="F92" s="4">
        <v>0</v>
      </c>
      <c r="G92" s="4">
        <v>0</v>
      </c>
      <c r="H92" s="4">
        <v>2</v>
      </c>
      <c r="I92" s="4">
        <v>7</v>
      </c>
      <c r="J92" s="4">
        <v>2</v>
      </c>
      <c r="K92" s="4">
        <v>9</v>
      </c>
      <c r="L92" s="4">
        <v>7</v>
      </c>
      <c r="M92" s="4">
        <v>17</v>
      </c>
      <c r="N92" s="4">
        <v>18</v>
      </c>
      <c r="O92" s="4">
        <v>0</v>
      </c>
      <c r="P92" s="4">
        <v>21</v>
      </c>
    </row>
    <row r="93" spans="1:16">
      <c r="A93" s="46">
        <v>16</v>
      </c>
      <c r="B93" s="2" t="s">
        <v>121</v>
      </c>
      <c r="C93" s="2" t="s">
        <v>207</v>
      </c>
      <c r="D93" s="4">
        <v>0</v>
      </c>
      <c r="E93" s="4">
        <v>26</v>
      </c>
      <c r="F93" s="4">
        <v>64</v>
      </c>
      <c r="G93" s="4">
        <v>43</v>
      </c>
      <c r="H93" s="4">
        <v>13</v>
      </c>
      <c r="I93" s="4">
        <v>6</v>
      </c>
      <c r="J93" s="4">
        <v>40</v>
      </c>
      <c r="K93" s="4">
        <v>70.103000000000009</v>
      </c>
      <c r="L93" s="4">
        <v>69</v>
      </c>
      <c r="M93" s="4">
        <v>35</v>
      </c>
      <c r="N93" s="4">
        <v>11</v>
      </c>
      <c r="O93" s="4">
        <v>114.5</v>
      </c>
      <c r="P93" s="4">
        <v>18</v>
      </c>
    </row>
    <row r="94" spans="1:16">
      <c r="A94" s="46">
        <v>17</v>
      </c>
      <c r="B94" s="2" t="s">
        <v>123</v>
      </c>
      <c r="C94" s="2" t="s">
        <v>202</v>
      </c>
      <c r="D94" s="4">
        <v>17.333400000000001</v>
      </c>
      <c r="E94" s="4">
        <v>15</v>
      </c>
      <c r="F94" s="4">
        <v>64</v>
      </c>
      <c r="G94" s="4">
        <v>25</v>
      </c>
      <c r="H94" s="4">
        <v>20.469200000000001</v>
      </c>
      <c r="I94" s="4">
        <v>84</v>
      </c>
      <c r="J94" s="4">
        <v>125.4216</v>
      </c>
      <c r="K94" s="4">
        <v>153.0462</v>
      </c>
      <c r="L94" s="4">
        <v>203</v>
      </c>
      <c r="M94" s="4">
        <v>195</v>
      </c>
      <c r="N94" s="4">
        <v>147.87520000000001</v>
      </c>
      <c r="O94" s="4">
        <v>215.32760000000002</v>
      </c>
      <c r="P94" s="4">
        <v>82.677599999999998</v>
      </c>
    </row>
    <row r="95" spans="1:16">
      <c r="A95" s="46">
        <v>17</v>
      </c>
      <c r="B95" s="2" t="s">
        <v>123</v>
      </c>
      <c r="C95" s="2" t="s">
        <v>203</v>
      </c>
      <c r="D95" s="4">
        <v>2.3332000000000002</v>
      </c>
      <c r="E95" s="4">
        <v>64</v>
      </c>
      <c r="F95" s="4">
        <v>25</v>
      </c>
      <c r="G95" s="4">
        <v>26</v>
      </c>
      <c r="H95" s="4">
        <v>6.8296000000000001</v>
      </c>
      <c r="I95" s="4">
        <v>42</v>
      </c>
      <c r="J95" s="4">
        <v>46.448599999999999</v>
      </c>
      <c r="K95" s="4">
        <v>58.263800000000003</v>
      </c>
      <c r="L95" s="4">
        <v>42</v>
      </c>
      <c r="M95" s="4">
        <v>146</v>
      </c>
      <c r="N95" s="4">
        <v>196.66319999999999</v>
      </c>
      <c r="O95" s="4">
        <v>87.525599999999997</v>
      </c>
      <c r="P95" s="4">
        <v>508.88159999999999</v>
      </c>
    </row>
    <row r="96" spans="1:16">
      <c r="A96" s="46">
        <v>17</v>
      </c>
      <c r="B96" s="2" t="s">
        <v>123</v>
      </c>
      <c r="C96" s="2" t="s">
        <v>204</v>
      </c>
      <c r="D96" s="4">
        <v>222</v>
      </c>
      <c r="E96" s="4">
        <v>288</v>
      </c>
      <c r="F96" s="4">
        <v>309</v>
      </c>
      <c r="G96" s="4">
        <v>387</v>
      </c>
      <c r="H96" s="4">
        <v>556</v>
      </c>
      <c r="I96" s="4">
        <v>502</v>
      </c>
      <c r="J96" s="4">
        <v>598</v>
      </c>
      <c r="K96" s="4">
        <v>704</v>
      </c>
      <c r="L96" s="4">
        <v>489</v>
      </c>
      <c r="M96" s="4">
        <v>687</v>
      </c>
      <c r="N96" s="4">
        <v>1406</v>
      </c>
      <c r="O96" s="4">
        <v>973</v>
      </c>
      <c r="P96" s="4">
        <v>900</v>
      </c>
    </row>
    <row r="97" spans="1:16">
      <c r="A97" s="46">
        <v>17</v>
      </c>
      <c r="B97" s="2" t="s">
        <v>123</v>
      </c>
      <c r="C97" s="2" t="s">
        <v>205</v>
      </c>
      <c r="D97" s="4">
        <v>11</v>
      </c>
      <c r="E97" s="4">
        <v>56</v>
      </c>
      <c r="F97" s="4">
        <v>21</v>
      </c>
      <c r="G97" s="4">
        <v>122</v>
      </c>
      <c r="H97" s="4">
        <v>41.589199999999998</v>
      </c>
      <c r="I97" s="4">
        <v>25</v>
      </c>
      <c r="J97" s="4">
        <v>47.066000000000003</v>
      </c>
      <c r="K97" s="4">
        <v>114.80719999999999</v>
      </c>
      <c r="L97" s="4">
        <v>65</v>
      </c>
      <c r="M97" s="4">
        <v>163</v>
      </c>
      <c r="N97" s="4">
        <v>140.34199999999998</v>
      </c>
      <c r="O97" s="4">
        <v>79.985199999999992</v>
      </c>
      <c r="P97" s="4">
        <v>69.800799999999995</v>
      </c>
    </row>
    <row r="98" spans="1:16">
      <c r="A98" s="46">
        <v>17</v>
      </c>
      <c r="B98" s="2" t="s">
        <v>123</v>
      </c>
      <c r="C98" s="2" t="s">
        <v>206</v>
      </c>
      <c r="D98" s="4">
        <v>17</v>
      </c>
      <c r="E98" s="4">
        <v>0</v>
      </c>
      <c r="F98" s="4">
        <v>0</v>
      </c>
      <c r="G98" s="4">
        <v>16</v>
      </c>
      <c r="H98" s="4">
        <v>9.1120000000000001</v>
      </c>
      <c r="I98" s="4">
        <v>11</v>
      </c>
      <c r="J98" s="4">
        <v>1.0638000000000001</v>
      </c>
      <c r="K98" s="4">
        <v>4.2687999999999997</v>
      </c>
      <c r="L98" s="4">
        <v>0</v>
      </c>
      <c r="M98" s="4">
        <v>4</v>
      </c>
      <c r="N98" s="4">
        <v>1.1195999999999999</v>
      </c>
      <c r="O98" s="4">
        <v>14.1616</v>
      </c>
      <c r="P98" s="4">
        <v>0.24</v>
      </c>
    </row>
    <row r="99" spans="1:16">
      <c r="A99" s="46">
        <v>17</v>
      </c>
      <c r="B99" s="2" t="s">
        <v>123</v>
      </c>
      <c r="C99" s="2" t="s">
        <v>207</v>
      </c>
      <c r="D99" s="4">
        <v>5.3334000000000001</v>
      </c>
      <c r="E99" s="4">
        <v>20</v>
      </c>
      <c r="F99" s="4">
        <v>98</v>
      </c>
      <c r="G99" s="4">
        <v>32</v>
      </c>
      <c r="H99" s="4">
        <v>7</v>
      </c>
      <c r="I99" s="4">
        <v>5</v>
      </c>
      <c r="J99" s="4">
        <v>7</v>
      </c>
      <c r="K99" s="4">
        <v>9.6140000000000008</v>
      </c>
      <c r="L99" s="4">
        <v>90</v>
      </c>
      <c r="M99" s="4">
        <v>26</v>
      </c>
      <c r="N99" s="4">
        <v>29</v>
      </c>
      <c r="O99" s="4">
        <v>54</v>
      </c>
      <c r="P99" s="4">
        <v>90.4</v>
      </c>
    </row>
    <row r="100" spans="1:16">
      <c r="A100" s="46">
        <v>18</v>
      </c>
      <c r="B100" s="2" t="s">
        <v>125</v>
      </c>
      <c r="C100" s="2" t="s">
        <v>202</v>
      </c>
      <c r="D100" s="3"/>
      <c r="E100" s="3"/>
      <c r="F100" s="3"/>
      <c r="G100" s="4">
        <v>8</v>
      </c>
      <c r="H100" s="4">
        <v>63</v>
      </c>
      <c r="I100" s="4">
        <v>107</v>
      </c>
      <c r="J100" s="4">
        <v>86</v>
      </c>
      <c r="K100" s="4">
        <v>114.9</v>
      </c>
      <c r="L100" s="4">
        <v>90</v>
      </c>
      <c r="M100" s="4">
        <v>112.98</v>
      </c>
      <c r="N100" s="4">
        <v>77</v>
      </c>
      <c r="O100" s="4">
        <v>139.5</v>
      </c>
      <c r="P100" s="4">
        <v>95.2</v>
      </c>
    </row>
    <row r="101" spans="1:16">
      <c r="A101" s="46">
        <v>18</v>
      </c>
      <c r="B101" s="2" t="s">
        <v>125</v>
      </c>
      <c r="C101" s="2" t="s">
        <v>203</v>
      </c>
      <c r="D101" s="3"/>
      <c r="E101" s="3"/>
      <c r="F101" s="3"/>
      <c r="G101" s="4">
        <v>2</v>
      </c>
      <c r="H101" s="4">
        <v>20</v>
      </c>
      <c r="I101" s="4">
        <v>38.5</v>
      </c>
      <c r="J101" s="4">
        <v>34</v>
      </c>
      <c r="K101" s="4">
        <v>68</v>
      </c>
      <c r="L101" s="4">
        <v>62</v>
      </c>
      <c r="M101" s="4">
        <v>53.66</v>
      </c>
      <c r="N101" s="4">
        <v>65</v>
      </c>
      <c r="O101" s="4">
        <v>126.5</v>
      </c>
      <c r="P101" s="4">
        <v>42</v>
      </c>
    </row>
    <row r="102" spans="1:16">
      <c r="A102" s="46">
        <v>18</v>
      </c>
      <c r="B102" s="2" t="s">
        <v>125</v>
      </c>
      <c r="C102" s="2" t="s">
        <v>204</v>
      </c>
      <c r="D102" s="3"/>
      <c r="E102" s="3"/>
      <c r="F102" s="3"/>
      <c r="G102" s="4">
        <v>47</v>
      </c>
      <c r="H102" s="4">
        <v>181</v>
      </c>
      <c r="I102" s="4">
        <v>361</v>
      </c>
      <c r="J102" s="4">
        <v>388</v>
      </c>
      <c r="K102" s="4">
        <v>513</v>
      </c>
      <c r="L102" s="4">
        <v>394</v>
      </c>
      <c r="M102" s="4">
        <v>491</v>
      </c>
      <c r="N102" s="4">
        <v>421</v>
      </c>
      <c r="O102" s="4">
        <v>607</v>
      </c>
      <c r="P102" s="4">
        <v>453</v>
      </c>
    </row>
    <row r="103" spans="1:16">
      <c r="A103" s="46">
        <v>18</v>
      </c>
      <c r="B103" s="2" t="s">
        <v>125</v>
      </c>
      <c r="C103" s="2" t="s">
        <v>205</v>
      </c>
      <c r="D103" s="3"/>
      <c r="E103" s="3"/>
      <c r="F103" s="3"/>
      <c r="G103" s="4">
        <v>14</v>
      </c>
      <c r="H103" s="4">
        <v>52</v>
      </c>
      <c r="I103" s="4">
        <v>123.5</v>
      </c>
      <c r="J103" s="4">
        <v>92</v>
      </c>
      <c r="K103" s="4">
        <v>97</v>
      </c>
      <c r="L103" s="4">
        <v>131</v>
      </c>
      <c r="M103" s="4">
        <v>88.36</v>
      </c>
      <c r="N103" s="4">
        <v>111</v>
      </c>
      <c r="O103" s="4">
        <v>221</v>
      </c>
      <c r="P103" s="4">
        <v>65</v>
      </c>
    </row>
    <row r="104" spans="1:16">
      <c r="A104" s="46">
        <v>18</v>
      </c>
      <c r="B104" s="2" t="s">
        <v>125</v>
      </c>
      <c r="C104" s="2" t="s">
        <v>206</v>
      </c>
      <c r="D104" s="3"/>
      <c r="E104" s="3"/>
      <c r="F104" s="3"/>
      <c r="G104" s="4">
        <v>0</v>
      </c>
      <c r="H104" s="4">
        <v>5</v>
      </c>
      <c r="I104" s="4">
        <v>8</v>
      </c>
      <c r="J104" s="4">
        <v>26</v>
      </c>
      <c r="K104" s="4">
        <v>51</v>
      </c>
      <c r="L104" s="4">
        <v>31</v>
      </c>
      <c r="M104" s="4">
        <v>37</v>
      </c>
      <c r="N104" s="4">
        <v>28</v>
      </c>
      <c r="O104" s="4">
        <v>111</v>
      </c>
      <c r="P104" s="4">
        <v>37</v>
      </c>
    </row>
    <row r="105" spans="1:16">
      <c r="A105" s="46">
        <v>18</v>
      </c>
      <c r="B105" s="2" t="s">
        <v>125</v>
      </c>
      <c r="C105" s="2" t="s">
        <v>207</v>
      </c>
      <c r="D105" s="3"/>
      <c r="E105" s="3"/>
      <c r="F105" s="3"/>
      <c r="G105" s="4">
        <v>14</v>
      </c>
      <c r="H105" s="4">
        <v>5</v>
      </c>
      <c r="I105" s="4">
        <v>20</v>
      </c>
      <c r="J105" s="4">
        <v>2</v>
      </c>
      <c r="K105" s="4">
        <v>12.1</v>
      </c>
      <c r="L105" s="4">
        <v>23</v>
      </c>
      <c r="M105" s="4">
        <v>24</v>
      </c>
      <c r="N105" s="4">
        <v>14</v>
      </c>
      <c r="O105" s="4">
        <v>43</v>
      </c>
      <c r="P105" s="4">
        <v>22.8</v>
      </c>
    </row>
    <row r="106" spans="1:16">
      <c r="A106" s="46">
        <v>19</v>
      </c>
      <c r="B106" s="2" t="s">
        <v>127</v>
      </c>
      <c r="C106" s="2" t="s">
        <v>202</v>
      </c>
      <c r="D106" s="4">
        <v>1503</v>
      </c>
      <c r="E106" s="4">
        <v>1133</v>
      </c>
      <c r="F106" s="4">
        <v>1110</v>
      </c>
      <c r="G106" s="4">
        <v>1591</v>
      </c>
      <c r="H106" s="4">
        <v>906</v>
      </c>
      <c r="I106" s="4">
        <v>909</v>
      </c>
      <c r="J106" s="4">
        <v>830</v>
      </c>
      <c r="K106" s="4">
        <v>1122.54</v>
      </c>
      <c r="L106" s="4">
        <v>924.5</v>
      </c>
      <c r="M106" s="4">
        <v>1053.5</v>
      </c>
      <c r="N106" s="4">
        <v>627.5</v>
      </c>
      <c r="O106" s="4">
        <v>651.5</v>
      </c>
      <c r="P106" s="4">
        <v>393</v>
      </c>
    </row>
    <row r="107" spans="1:16">
      <c r="A107" s="46">
        <v>19</v>
      </c>
      <c r="B107" s="2" t="s">
        <v>127</v>
      </c>
      <c r="C107" s="2" t="s">
        <v>203</v>
      </c>
      <c r="D107" s="4">
        <v>2180</v>
      </c>
      <c r="E107" s="4">
        <v>3475.125</v>
      </c>
      <c r="F107" s="4">
        <v>1860</v>
      </c>
      <c r="G107" s="4">
        <v>1449</v>
      </c>
      <c r="H107" s="4">
        <v>1233</v>
      </c>
      <c r="I107" s="4">
        <v>1908</v>
      </c>
      <c r="J107" s="4">
        <v>488</v>
      </c>
      <c r="K107" s="4">
        <v>589</v>
      </c>
      <c r="L107" s="4">
        <v>556</v>
      </c>
      <c r="M107" s="4">
        <v>1074.5</v>
      </c>
      <c r="N107" s="4">
        <v>2977.5</v>
      </c>
      <c r="O107" s="4">
        <v>1277.5</v>
      </c>
      <c r="P107" s="4">
        <v>1031</v>
      </c>
    </row>
    <row r="108" spans="1:16">
      <c r="A108" s="46">
        <v>19</v>
      </c>
      <c r="B108" s="2" t="s">
        <v>127</v>
      </c>
      <c r="C108" s="2" t="s">
        <v>204</v>
      </c>
      <c r="D108" s="4">
        <v>4259</v>
      </c>
      <c r="E108" s="4">
        <v>10347</v>
      </c>
      <c r="F108" s="4">
        <v>7223</v>
      </c>
      <c r="G108" s="4">
        <v>5427</v>
      </c>
      <c r="H108" s="4">
        <v>4415</v>
      </c>
      <c r="I108" s="4">
        <v>4861</v>
      </c>
      <c r="J108" s="4">
        <v>6519</v>
      </c>
      <c r="K108" s="4">
        <v>5606</v>
      </c>
      <c r="L108" s="4">
        <v>5070</v>
      </c>
      <c r="M108" s="4">
        <v>5695</v>
      </c>
      <c r="N108" s="4">
        <v>5363</v>
      </c>
      <c r="O108" s="4">
        <v>6912</v>
      </c>
      <c r="P108" s="4">
        <v>4451</v>
      </c>
    </row>
    <row r="109" spans="1:16">
      <c r="A109" s="46">
        <v>19</v>
      </c>
      <c r="B109" s="2" t="s">
        <v>127</v>
      </c>
      <c r="C109" s="2" t="s">
        <v>205</v>
      </c>
      <c r="D109" s="4">
        <v>767</v>
      </c>
      <c r="E109" s="4">
        <v>594</v>
      </c>
      <c r="F109" s="4">
        <v>189</v>
      </c>
      <c r="G109" s="4">
        <v>226</v>
      </c>
      <c r="H109" s="4">
        <v>800</v>
      </c>
      <c r="I109" s="4">
        <v>799</v>
      </c>
      <c r="J109" s="4">
        <v>745</v>
      </c>
      <c r="K109" s="4">
        <v>1185</v>
      </c>
      <c r="L109" s="4">
        <v>294</v>
      </c>
      <c r="M109" s="4">
        <v>166</v>
      </c>
      <c r="N109" s="4">
        <v>335</v>
      </c>
      <c r="O109" s="4">
        <v>337</v>
      </c>
      <c r="P109" s="4">
        <v>1246</v>
      </c>
    </row>
    <row r="110" spans="1:16">
      <c r="A110" s="46">
        <v>19</v>
      </c>
      <c r="B110" s="2" t="s">
        <v>127</v>
      </c>
      <c r="C110" s="2" t="s">
        <v>206</v>
      </c>
      <c r="D110" s="4">
        <v>-29</v>
      </c>
      <c r="E110" s="4">
        <v>213</v>
      </c>
      <c r="F110" s="4">
        <v>104</v>
      </c>
      <c r="G110" s="4">
        <v>96</v>
      </c>
      <c r="H110" s="4">
        <v>3</v>
      </c>
      <c r="I110" s="4">
        <v>27</v>
      </c>
      <c r="J110" s="4">
        <v>21</v>
      </c>
      <c r="K110" s="4">
        <v>111</v>
      </c>
      <c r="L110" s="4">
        <v>1</v>
      </c>
      <c r="M110" s="4">
        <v>22</v>
      </c>
      <c r="N110" s="4">
        <v>452</v>
      </c>
      <c r="O110" s="4">
        <v>230</v>
      </c>
      <c r="P110" s="4">
        <v>12</v>
      </c>
    </row>
    <row r="111" spans="1:16">
      <c r="A111" s="46">
        <v>19</v>
      </c>
      <c r="B111" s="2" t="s">
        <v>127</v>
      </c>
      <c r="C111" s="2" t="s">
        <v>207</v>
      </c>
      <c r="D111" s="4">
        <v>415</v>
      </c>
      <c r="E111" s="4">
        <v>188.875</v>
      </c>
      <c r="F111" s="4">
        <v>205</v>
      </c>
      <c r="G111" s="4">
        <v>319</v>
      </c>
      <c r="H111" s="4">
        <v>460</v>
      </c>
      <c r="I111" s="4">
        <v>138</v>
      </c>
      <c r="J111" s="4">
        <v>150</v>
      </c>
      <c r="K111" s="4">
        <v>256.46000000000004</v>
      </c>
      <c r="L111" s="4">
        <v>131.5</v>
      </c>
      <c r="M111" s="4">
        <v>144</v>
      </c>
      <c r="N111" s="4">
        <v>164</v>
      </c>
      <c r="O111" s="4">
        <v>127</v>
      </c>
      <c r="P111" s="4">
        <v>128</v>
      </c>
    </row>
    <row r="112" spans="1:16">
      <c r="A112" s="46">
        <v>20</v>
      </c>
      <c r="B112" s="2" t="s">
        <v>129</v>
      </c>
      <c r="C112" s="2" t="s">
        <v>202</v>
      </c>
      <c r="D112" s="4">
        <v>-102</v>
      </c>
      <c r="E112" s="4">
        <v>12</v>
      </c>
      <c r="F112" s="4">
        <v>8</v>
      </c>
      <c r="G112" s="4">
        <v>22</v>
      </c>
      <c r="H112" s="4">
        <v>27.9664</v>
      </c>
      <c r="I112" s="4">
        <v>12.5</v>
      </c>
      <c r="J112" s="4">
        <v>40</v>
      </c>
      <c r="K112" s="4">
        <v>31</v>
      </c>
      <c r="L112" s="4">
        <v>18</v>
      </c>
      <c r="M112" s="4">
        <v>46.5</v>
      </c>
      <c r="N112" s="4">
        <v>18</v>
      </c>
      <c r="O112" s="4">
        <v>69</v>
      </c>
      <c r="P112" s="4">
        <v>26</v>
      </c>
    </row>
    <row r="113" spans="1:16">
      <c r="A113" s="46">
        <v>20</v>
      </c>
      <c r="B113" s="2" t="s">
        <v>129</v>
      </c>
      <c r="C113" s="2" t="s">
        <v>203</v>
      </c>
      <c r="D113" s="4">
        <v>12</v>
      </c>
      <c r="E113" s="4">
        <v>54</v>
      </c>
      <c r="F113" s="4">
        <v>47</v>
      </c>
      <c r="G113" s="4">
        <v>44</v>
      </c>
      <c r="H113" s="4">
        <v>30.5336</v>
      </c>
      <c r="I113" s="4">
        <v>13</v>
      </c>
      <c r="J113" s="4">
        <v>38</v>
      </c>
      <c r="K113" s="4">
        <v>126</v>
      </c>
      <c r="L113" s="4">
        <v>37</v>
      </c>
      <c r="M113" s="4">
        <v>38</v>
      </c>
      <c r="N113" s="4">
        <v>82</v>
      </c>
      <c r="O113" s="4">
        <v>36</v>
      </c>
      <c r="P113" s="4">
        <v>66</v>
      </c>
    </row>
    <row r="114" spans="1:16">
      <c r="A114" s="46">
        <v>20</v>
      </c>
      <c r="B114" s="2" t="s">
        <v>129</v>
      </c>
      <c r="C114" s="2" t="s">
        <v>204</v>
      </c>
      <c r="D114" s="4">
        <v>38</v>
      </c>
      <c r="E114" s="4">
        <v>28</v>
      </c>
      <c r="F114" s="4">
        <v>87</v>
      </c>
      <c r="G114" s="4">
        <v>50</v>
      </c>
      <c r="H114" s="4">
        <v>51</v>
      </c>
      <c r="I114" s="4">
        <v>84</v>
      </c>
      <c r="J114" s="4">
        <v>207</v>
      </c>
      <c r="K114" s="4">
        <v>249</v>
      </c>
      <c r="L114" s="4">
        <v>441</v>
      </c>
      <c r="M114" s="4">
        <v>298</v>
      </c>
      <c r="N114" s="4">
        <v>394</v>
      </c>
      <c r="O114" s="4">
        <v>241</v>
      </c>
      <c r="P114" s="4">
        <v>297</v>
      </c>
    </row>
    <row r="115" spans="1:16">
      <c r="A115" s="46">
        <v>20</v>
      </c>
      <c r="B115" s="2" t="s">
        <v>129</v>
      </c>
      <c r="C115" s="2" t="s">
        <v>205</v>
      </c>
      <c r="D115" s="4">
        <v>27</v>
      </c>
      <c r="E115" s="4">
        <v>28</v>
      </c>
      <c r="F115" s="4">
        <v>45</v>
      </c>
      <c r="G115" s="4">
        <v>42</v>
      </c>
      <c r="H115" s="4">
        <v>27</v>
      </c>
      <c r="I115" s="4">
        <v>95</v>
      </c>
      <c r="J115" s="4">
        <v>64</v>
      </c>
      <c r="K115" s="4">
        <v>29</v>
      </c>
      <c r="L115" s="4">
        <v>32</v>
      </c>
      <c r="M115" s="4">
        <v>93</v>
      </c>
      <c r="N115" s="4">
        <v>20</v>
      </c>
      <c r="O115" s="4">
        <v>53</v>
      </c>
      <c r="P115" s="4">
        <v>71</v>
      </c>
    </row>
    <row r="116" spans="1:16">
      <c r="A116" s="46">
        <v>20</v>
      </c>
      <c r="B116" s="2" t="s">
        <v>129</v>
      </c>
      <c r="C116" s="2" t="s">
        <v>206</v>
      </c>
      <c r="D116" s="4">
        <v>38</v>
      </c>
      <c r="E116" s="4">
        <v>6</v>
      </c>
      <c r="F116" s="4">
        <v>6</v>
      </c>
      <c r="G116" s="4">
        <v>15</v>
      </c>
      <c r="H116" s="4">
        <v>10</v>
      </c>
      <c r="I116" s="4">
        <v>13</v>
      </c>
      <c r="J116" s="4">
        <v>12</v>
      </c>
      <c r="K116" s="4">
        <v>11</v>
      </c>
      <c r="L116" s="4">
        <v>49</v>
      </c>
      <c r="M116" s="4">
        <v>32.5</v>
      </c>
      <c r="N116" s="4">
        <v>9</v>
      </c>
      <c r="O116" s="4">
        <v>40</v>
      </c>
      <c r="P116" s="4">
        <v>42</v>
      </c>
    </row>
    <row r="117" spans="1:16">
      <c r="A117" s="46">
        <v>20</v>
      </c>
      <c r="B117" s="2" t="s">
        <v>129</v>
      </c>
      <c r="C117" s="2" t="s">
        <v>207</v>
      </c>
      <c r="D117" s="4">
        <v>0</v>
      </c>
      <c r="E117" s="4">
        <v>0</v>
      </c>
      <c r="F117" s="4">
        <v>2</v>
      </c>
      <c r="G117" s="4">
        <v>2</v>
      </c>
      <c r="H117" s="4">
        <v>0.5</v>
      </c>
      <c r="I117" s="4">
        <v>0.5</v>
      </c>
      <c r="J117" s="4">
        <v>0</v>
      </c>
      <c r="K117" s="4">
        <v>4</v>
      </c>
      <c r="L117" s="4">
        <v>0</v>
      </c>
      <c r="M117" s="4">
        <v>0</v>
      </c>
      <c r="N117" s="4">
        <v>2</v>
      </c>
      <c r="O117" s="4">
        <v>2</v>
      </c>
      <c r="P117" s="4">
        <v>4</v>
      </c>
    </row>
    <row r="118" spans="1:16">
      <c r="A118" s="46">
        <v>21</v>
      </c>
      <c r="B118" s="2" t="s">
        <v>131</v>
      </c>
      <c r="C118" s="2" t="s">
        <v>202</v>
      </c>
      <c r="D118" s="4">
        <v>27.5</v>
      </c>
      <c r="E118" s="4">
        <v>7</v>
      </c>
      <c r="F118" s="4">
        <v>6</v>
      </c>
      <c r="G118" s="4">
        <v>10</v>
      </c>
      <c r="H118" s="4">
        <v>11</v>
      </c>
      <c r="I118" s="4">
        <v>17</v>
      </c>
      <c r="J118" s="4">
        <v>0</v>
      </c>
      <c r="K118" s="4">
        <v>27</v>
      </c>
      <c r="L118" s="4">
        <v>0</v>
      </c>
      <c r="M118" s="4">
        <v>10</v>
      </c>
      <c r="N118" s="4">
        <v>12</v>
      </c>
      <c r="O118" s="4">
        <v>27</v>
      </c>
      <c r="P118" s="4">
        <v>7</v>
      </c>
    </row>
    <row r="119" spans="1:16">
      <c r="A119" s="46">
        <v>21</v>
      </c>
      <c r="B119" s="2" t="s">
        <v>131</v>
      </c>
      <c r="C119" s="2" t="s">
        <v>203</v>
      </c>
      <c r="D119" s="4">
        <v>8.5</v>
      </c>
      <c r="E119" s="4">
        <v>36</v>
      </c>
      <c r="F119" s="4">
        <v>37</v>
      </c>
      <c r="G119" s="4">
        <v>12</v>
      </c>
      <c r="H119" s="4">
        <v>0</v>
      </c>
      <c r="I119" s="4">
        <v>56</v>
      </c>
      <c r="J119" s="4">
        <v>19</v>
      </c>
      <c r="K119" s="4">
        <v>22</v>
      </c>
      <c r="L119" s="4">
        <v>8</v>
      </c>
      <c r="M119" s="4">
        <v>54</v>
      </c>
      <c r="N119" s="4">
        <v>53</v>
      </c>
      <c r="O119" s="4">
        <v>29</v>
      </c>
      <c r="P119" s="4">
        <v>15</v>
      </c>
    </row>
    <row r="120" spans="1:16">
      <c r="A120" s="46">
        <v>21</v>
      </c>
      <c r="B120" s="2" t="s">
        <v>131</v>
      </c>
      <c r="C120" s="2" t="s">
        <v>204</v>
      </c>
      <c r="D120" s="4">
        <v>6</v>
      </c>
      <c r="E120" s="4">
        <v>48</v>
      </c>
      <c r="F120" s="4">
        <v>15</v>
      </c>
      <c r="G120" s="4">
        <v>9</v>
      </c>
      <c r="H120" s="4">
        <v>30</v>
      </c>
      <c r="I120" s="4">
        <v>52</v>
      </c>
      <c r="J120" s="4">
        <v>51</v>
      </c>
      <c r="K120" s="4">
        <v>90</v>
      </c>
      <c r="L120" s="4">
        <v>25</v>
      </c>
      <c r="M120" s="4">
        <v>47</v>
      </c>
      <c r="N120" s="4">
        <v>85</v>
      </c>
      <c r="O120" s="4">
        <v>78</v>
      </c>
      <c r="P120" s="4">
        <v>120</v>
      </c>
    </row>
    <row r="121" spans="1:16">
      <c r="A121" s="46">
        <v>21</v>
      </c>
      <c r="B121" s="2" t="s">
        <v>131</v>
      </c>
      <c r="C121" s="2" t="s">
        <v>205</v>
      </c>
      <c r="D121" s="4">
        <v>28</v>
      </c>
      <c r="E121" s="4">
        <v>23</v>
      </c>
      <c r="F121" s="4">
        <v>20</v>
      </c>
      <c r="G121" s="4">
        <v>48</v>
      </c>
      <c r="H121" s="4">
        <v>33</v>
      </c>
      <c r="I121" s="4">
        <v>11</v>
      </c>
      <c r="J121" s="4">
        <v>35</v>
      </c>
      <c r="K121" s="4">
        <v>27</v>
      </c>
      <c r="L121" s="4">
        <v>25</v>
      </c>
      <c r="M121" s="4">
        <v>70</v>
      </c>
      <c r="N121" s="4">
        <v>25</v>
      </c>
      <c r="O121" s="4">
        <v>78</v>
      </c>
      <c r="P121" s="4">
        <v>66</v>
      </c>
    </row>
    <row r="122" spans="1:16">
      <c r="A122" s="46">
        <v>21</v>
      </c>
      <c r="B122" s="2" t="s">
        <v>131</v>
      </c>
      <c r="C122" s="2" t="s">
        <v>206</v>
      </c>
      <c r="D122" s="4">
        <v>4</v>
      </c>
      <c r="E122" s="4">
        <v>0</v>
      </c>
      <c r="F122" s="4">
        <v>0</v>
      </c>
      <c r="G122" s="4">
        <v>2</v>
      </c>
      <c r="H122" s="4">
        <v>0</v>
      </c>
      <c r="I122" s="4">
        <v>1</v>
      </c>
      <c r="J122" s="4">
        <v>2</v>
      </c>
      <c r="K122" s="4">
        <v>6</v>
      </c>
      <c r="L122" s="4">
        <v>48</v>
      </c>
      <c r="M122" s="4">
        <v>44</v>
      </c>
      <c r="N122" s="4">
        <v>24</v>
      </c>
      <c r="O122" s="4">
        <v>12</v>
      </c>
      <c r="P122" s="4">
        <v>0</v>
      </c>
    </row>
    <row r="123" spans="1:16">
      <c r="A123" s="46">
        <v>21</v>
      </c>
      <c r="B123" s="2" t="s">
        <v>131</v>
      </c>
      <c r="C123" s="2" t="s">
        <v>207</v>
      </c>
      <c r="D123" s="4">
        <v>0</v>
      </c>
      <c r="E123" s="4">
        <v>1</v>
      </c>
      <c r="F123" s="4">
        <v>9</v>
      </c>
      <c r="G123" s="4">
        <v>0</v>
      </c>
      <c r="H123" s="3"/>
      <c r="I123" s="4">
        <v>0</v>
      </c>
      <c r="J123" s="4">
        <v>-7</v>
      </c>
      <c r="K123" s="4">
        <v>2</v>
      </c>
      <c r="L123" s="4">
        <v>0</v>
      </c>
      <c r="M123" s="3"/>
      <c r="N123" s="3"/>
      <c r="O123" s="4">
        <v>3</v>
      </c>
      <c r="P123" s="4">
        <v>0</v>
      </c>
    </row>
    <row r="124" spans="1:16">
      <c r="A124" s="46">
        <v>22</v>
      </c>
      <c r="B124" s="2" t="s">
        <v>133</v>
      </c>
      <c r="C124" s="2" t="s">
        <v>202</v>
      </c>
      <c r="D124" s="4">
        <v>2027</v>
      </c>
      <c r="E124" s="4">
        <v>2196.5</v>
      </c>
      <c r="F124" s="4">
        <v>7087</v>
      </c>
      <c r="G124" s="4">
        <v>8718</v>
      </c>
      <c r="H124" s="4">
        <v>2248</v>
      </c>
      <c r="I124" s="4">
        <v>5322</v>
      </c>
      <c r="J124" s="4">
        <v>1845.5</v>
      </c>
      <c r="K124" s="4">
        <v>4548</v>
      </c>
      <c r="L124" s="4">
        <v>3151</v>
      </c>
      <c r="M124" s="4">
        <v>11925</v>
      </c>
      <c r="N124" s="4">
        <v>2213</v>
      </c>
      <c r="O124" s="4">
        <v>4204</v>
      </c>
      <c r="P124" s="4">
        <v>2710</v>
      </c>
    </row>
    <row r="125" spans="1:16">
      <c r="A125" s="46">
        <v>22</v>
      </c>
      <c r="B125" s="2" t="s">
        <v>133</v>
      </c>
      <c r="C125" s="2" t="s">
        <v>203</v>
      </c>
      <c r="D125" s="4">
        <v>2689</v>
      </c>
      <c r="E125" s="4">
        <v>2390.5</v>
      </c>
      <c r="F125" s="4">
        <v>4747</v>
      </c>
      <c r="G125" s="4">
        <v>2696</v>
      </c>
      <c r="H125" s="4">
        <v>2705</v>
      </c>
      <c r="I125" s="4">
        <v>13795</v>
      </c>
      <c r="J125" s="4">
        <v>6029</v>
      </c>
      <c r="K125" s="4">
        <v>1901</v>
      </c>
      <c r="L125" s="4">
        <v>6251</v>
      </c>
      <c r="M125" s="4">
        <v>2110</v>
      </c>
      <c r="N125" s="4">
        <v>1427</v>
      </c>
      <c r="O125" s="4">
        <v>2087</v>
      </c>
      <c r="P125" s="4">
        <v>728</v>
      </c>
    </row>
    <row r="126" spans="1:16">
      <c r="A126" s="46">
        <v>22</v>
      </c>
      <c r="B126" s="2" t="s">
        <v>133</v>
      </c>
      <c r="C126" s="2" t="s">
        <v>204</v>
      </c>
      <c r="D126" s="4">
        <v>24910</v>
      </c>
      <c r="E126" s="4">
        <v>14251</v>
      </c>
      <c r="F126" s="4">
        <v>16221</v>
      </c>
      <c r="G126" s="4">
        <v>21277</v>
      </c>
      <c r="H126" s="4">
        <v>16451</v>
      </c>
      <c r="I126" s="4">
        <v>10060</v>
      </c>
      <c r="J126" s="4">
        <v>14209</v>
      </c>
      <c r="K126" s="4">
        <v>15552</v>
      </c>
      <c r="L126" s="4">
        <v>13191</v>
      </c>
      <c r="M126" s="4">
        <v>6387</v>
      </c>
      <c r="N126" s="4">
        <v>7393</v>
      </c>
      <c r="O126" s="4">
        <v>8753</v>
      </c>
      <c r="P126" s="4">
        <v>5119</v>
      </c>
    </row>
    <row r="127" spans="1:16">
      <c r="A127" s="46">
        <v>22</v>
      </c>
      <c r="B127" s="2" t="s">
        <v>133</v>
      </c>
      <c r="C127" s="2" t="s">
        <v>205</v>
      </c>
      <c r="D127" s="4">
        <v>12949</v>
      </c>
      <c r="E127" s="4">
        <v>12625</v>
      </c>
      <c r="F127" s="4">
        <v>15079</v>
      </c>
      <c r="G127" s="4">
        <v>8949</v>
      </c>
      <c r="H127" s="4">
        <v>7099</v>
      </c>
      <c r="I127" s="4">
        <v>10828</v>
      </c>
      <c r="J127" s="4">
        <v>11617</v>
      </c>
      <c r="K127" s="4">
        <v>2805</v>
      </c>
      <c r="L127" s="4">
        <v>7461</v>
      </c>
      <c r="M127" s="4">
        <v>3377</v>
      </c>
      <c r="N127" s="4">
        <v>10401</v>
      </c>
      <c r="O127" s="4">
        <v>3796</v>
      </c>
      <c r="P127" s="4">
        <v>4891</v>
      </c>
    </row>
    <row r="128" spans="1:16">
      <c r="A128" s="46">
        <v>22</v>
      </c>
      <c r="B128" s="2" t="s">
        <v>133</v>
      </c>
      <c r="C128" s="2" t="s">
        <v>206</v>
      </c>
      <c r="D128" s="4">
        <v>893</v>
      </c>
      <c r="E128" s="4">
        <v>466</v>
      </c>
      <c r="F128" s="4">
        <v>137</v>
      </c>
      <c r="G128" s="4">
        <v>2</v>
      </c>
      <c r="H128" s="4">
        <v>30</v>
      </c>
      <c r="I128" s="4">
        <v>60</v>
      </c>
      <c r="J128" s="4">
        <v>-30</v>
      </c>
      <c r="K128" s="4">
        <v>0</v>
      </c>
      <c r="L128" s="4">
        <v>0</v>
      </c>
      <c r="M128" s="4">
        <v>336</v>
      </c>
      <c r="N128" s="4">
        <v>0</v>
      </c>
      <c r="O128" s="4">
        <v>9</v>
      </c>
      <c r="P128" s="4">
        <v>10</v>
      </c>
    </row>
    <row r="129" spans="1:16">
      <c r="A129" s="46">
        <v>22</v>
      </c>
      <c r="B129" s="2" t="s">
        <v>133</v>
      </c>
      <c r="C129" s="2" t="s">
        <v>207</v>
      </c>
      <c r="D129" s="4">
        <v>47</v>
      </c>
      <c r="E129" s="4">
        <v>385</v>
      </c>
      <c r="F129" s="4">
        <v>132</v>
      </c>
      <c r="G129" s="4">
        <v>131</v>
      </c>
      <c r="H129" s="4">
        <v>213</v>
      </c>
      <c r="I129" s="4">
        <v>90</v>
      </c>
      <c r="J129" s="4">
        <v>83.5</v>
      </c>
      <c r="K129" s="4">
        <v>130</v>
      </c>
      <c r="L129" s="4">
        <v>126</v>
      </c>
      <c r="M129" s="4">
        <v>278</v>
      </c>
      <c r="N129" s="4">
        <v>133</v>
      </c>
      <c r="O129" s="4">
        <v>106</v>
      </c>
      <c r="P129" s="4">
        <v>7</v>
      </c>
    </row>
    <row r="130" spans="1:16">
      <c r="A130" s="46">
        <v>23</v>
      </c>
      <c r="B130" s="2" t="s">
        <v>135</v>
      </c>
      <c r="C130" s="2" t="s">
        <v>202</v>
      </c>
      <c r="D130" s="4">
        <v>-190.3</v>
      </c>
      <c r="E130" s="4">
        <v>45</v>
      </c>
      <c r="F130" s="4">
        <v>244</v>
      </c>
      <c r="G130" s="4">
        <v>99</v>
      </c>
      <c r="H130" s="4">
        <v>103</v>
      </c>
      <c r="I130" s="4">
        <v>74</v>
      </c>
      <c r="J130" s="4">
        <v>221</v>
      </c>
      <c r="K130" s="4">
        <v>67</v>
      </c>
      <c r="L130" s="4">
        <v>68</v>
      </c>
      <c r="M130" s="4">
        <v>107</v>
      </c>
      <c r="N130" s="4">
        <v>60</v>
      </c>
      <c r="O130" s="4">
        <v>145</v>
      </c>
      <c r="P130" s="4">
        <v>124.0997</v>
      </c>
    </row>
    <row r="131" spans="1:16">
      <c r="A131" s="46">
        <v>23</v>
      </c>
      <c r="B131" s="2" t="s">
        <v>135</v>
      </c>
      <c r="C131" s="2" t="s">
        <v>203</v>
      </c>
      <c r="D131" s="4">
        <v>1974</v>
      </c>
      <c r="E131" s="4">
        <v>202.5</v>
      </c>
      <c r="F131" s="4">
        <v>2103</v>
      </c>
      <c r="G131" s="4">
        <v>187</v>
      </c>
      <c r="H131" s="4">
        <v>99</v>
      </c>
      <c r="I131" s="4">
        <v>180</v>
      </c>
      <c r="J131" s="4">
        <v>165.20929999999998</v>
      </c>
      <c r="K131" s="4">
        <v>505.5951</v>
      </c>
      <c r="L131" s="4">
        <v>1971.0594000000001</v>
      </c>
      <c r="M131" s="4">
        <v>167.03440000000001</v>
      </c>
      <c r="N131" s="4">
        <v>1320.1922000000002</v>
      </c>
      <c r="O131" s="4">
        <v>460</v>
      </c>
      <c r="P131" s="4">
        <v>981.59199999999998</v>
      </c>
    </row>
    <row r="132" spans="1:16">
      <c r="A132" s="46">
        <v>23</v>
      </c>
      <c r="B132" s="2" t="s">
        <v>135</v>
      </c>
      <c r="C132" s="2" t="s">
        <v>204</v>
      </c>
      <c r="D132" s="4">
        <v>1753</v>
      </c>
      <c r="E132" s="4">
        <v>3341</v>
      </c>
      <c r="F132" s="4">
        <v>5520</v>
      </c>
      <c r="G132" s="4">
        <v>9853</v>
      </c>
      <c r="H132" s="4">
        <v>2399</v>
      </c>
      <c r="I132" s="4">
        <v>5363</v>
      </c>
      <c r="J132" s="4">
        <v>6578</v>
      </c>
      <c r="K132" s="4">
        <v>5870</v>
      </c>
      <c r="L132" s="4">
        <v>5130</v>
      </c>
      <c r="M132" s="4">
        <v>3424</v>
      </c>
      <c r="N132" s="4">
        <v>6013</v>
      </c>
      <c r="O132" s="4">
        <v>4812</v>
      </c>
      <c r="P132" s="4">
        <v>3055</v>
      </c>
    </row>
    <row r="133" spans="1:16">
      <c r="A133" s="46">
        <v>23</v>
      </c>
      <c r="B133" s="2" t="s">
        <v>135</v>
      </c>
      <c r="C133" s="2" t="s">
        <v>205</v>
      </c>
      <c r="D133" s="4">
        <v>135.30000000000001</v>
      </c>
      <c r="E133" s="4">
        <v>703</v>
      </c>
      <c r="F133" s="4">
        <v>2175</v>
      </c>
      <c r="G133" s="4">
        <v>179</v>
      </c>
      <c r="H133" s="4">
        <v>347</v>
      </c>
      <c r="I133" s="4">
        <v>39</v>
      </c>
      <c r="J133" s="4">
        <v>814</v>
      </c>
      <c r="K133" s="4">
        <v>165</v>
      </c>
      <c r="L133" s="4">
        <v>122.021</v>
      </c>
      <c r="M133" s="4">
        <v>105</v>
      </c>
      <c r="N133" s="4">
        <v>156</v>
      </c>
      <c r="O133" s="4">
        <v>437</v>
      </c>
      <c r="P133" s="4">
        <v>36.1083</v>
      </c>
    </row>
    <row r="134" spans="1:16">
      <c r="A134" s="46">
        <v>23</v>
      </c>
      <c r="B134" s="2" t="s">
        <v>135</v>
      </c>
      <c r="C134" s="2" t="s">
        <v>206</v>
      </c>
      <c r="D134" s="4">
        <v>482</v>
      </c>
      <c r="E134" s="4">
        <v>118.5</v>
      </c>
      <c r="F134" s="4">
        <v>321</v>
      </c>
      <c r="G134" s="4">
        <v>419</v>
      </c>
      <c r="H134" s="4">
        <v>8</v>
      </c>
      <c r="I134" s="4">
        <v>22</v>
      </c>
      <c r="J134" s="4">
        <v>121.7907</v>
      </c>
      <c r="K134" s="4">
        <v>49.404899999999998</v>
      </c>
      <c r="L134" s="4">
        <v>2.9195999999999991</v>
      </c>
      <c r="M134" s="4">
        <v>569.96559999999999</v>
      </c>
      <c r="N134" s="4">
        <v>266.80779999999999</v>
      </c>
      <c r="O134" s="4">
        <v>239</v>
      </c>
      <c r="P134" s="4">
        <v>2571.5</v>
      </c>
    </row>
    <row r="135" spans="1:16">
      <c r="A135" s="46">
        <v>23</v>
      </c>
      <c r="B135" s="2" t="s">
        <v>135</v>
      </c>
      <c r="C135" s="2" t="s">
        <v>207</v>
      </c>
      <c r="D135" s="4">
        <v>295</v>
      </c>
      <c r="E135" s="4">
        <v>76</v>
      </c>
      <c r="F135" s="4">
        <v>57</v>
      </c>
      <c r="G135" s="4">
        <v>383</v>
      </c>
      <c r="H135" s="4">
        <v>51</v>
      </c>
      <c r="I135" s="4">
        <v>98</v>
      </c>
      <c r="J135" s="4">
        <v>641</v>
      </c>
      <c r="K135" s="4">
        <v>614</v>
      </c>
      <c r="L135" s="4">
        <v>1136</v>
      </c>
      <c r="M135" s="4">
        <v>3501</v>
      </c>
      <c r="N135" s="4">
        <v>29</v>
      </c>
      <c r="O135" s="4">
        <v>90</v>
      </c>
      <c r="P135" s="4">
        <v>44.7</v>
      </c>
    </row>
    <row r="136" spans="1:16">
      <c r="A136" s="46">
        <v>24</v>
      </c>
      <c r="B136" s="2" t="s">
        <v>137</v>
      </c>
      <c r="C136" s="2" t="s">
        <v>202</v>
      </c>
      <c r="D136" s="4">
        <v>146.5</v>
      </c>
      <c r="E136" s="4">
        <v>246</v>
      </c>
      <c r="F136" s="4">
        <v>157</v>
      </c>
      <c r="G136" s="4">
        <v>247</v>
      </c>
      <c r="H136" s="4">
        <v>93</v>
      </c>
      <c r="I136" s="4">
        <v>111</v>
      </c>
      <c r="J136" s="4">
        <v>154</v>
      </c>
      <c r="K136" s="4">
        <v>404.45500000000004</v>
      </c>
      <c r="L136" s="4">
        <v>274</v>
      </c>
      <c r="M136" s="4">
        <v>259</v>
      </c>
      <c r="N136" s="4">
        <v>265.5</v>
      </c>
      <c r="O136" s="4">
        <v>226</v>
      </c>
      <c r="P136" s="4">
        <v>209.5</v>
      </c>
    </row>
    <row r="137" spans="1:16">
      <c r="A137" s="46">
        <v>24</v>
      </c>
      <c r="B137" s="2" t="s">
        <v>137</v>
      </c>
      <c r="C137" s="2" t="s">
        <v>203</v>
      </c>
      <c r="D137" s="4">
        <v>682.5</v>
      </c>
      <c r="E137" s="4">
        <v>137</v>
      </c>
      <c r="F137" s="4">
        <v>262</v>
      </c>
      <c r="G137" s="4">
        <v>562</v>
      </c>
      <c r="H137" s="4">
        <v>383</v>
      </c>
      <c r="I137" s="4">
        <v>855</v>
      </c>
      <c r="J137" s="4">
        <v>316</v>
      </c>
      <c r="K137" s="4">
        <v>554</v>
      </c>
      <c r="L137" s="4">
        <v>607</v>
      </c>
      <c r="M137" s="4">
        <v>584</v>
      </c>
      <c r="N137" s="4">
        <v>525</v>
      </c>
      <c r="O137" s="4">
        <v>986.75</v>
      </c>
      <c r="P137" s="4">
        <v>529.5</v>
      </c>
    </row>
    <row r="138" spans="1:16">
      <c r="A138" s="46">
        <v>24</v>
      </c>
      <c r="B138" s="2" t="s">
        <v>137</v>
      </c>
      <c r="C138" s="2" t="s">
        <v>204</v>
      </c>
      <c r="D138" s="4">
        <v>589</v>
      </c>
      <c r="E138" s="4">
        <v>757</v>
      </c>
      <c r="F138" s="4">
        <v>960</v>
      </c>
      <c r="G138" s="4">
        <v>840</v>
      </c>
      <c r="H138" s="4">
        <v>617</v>
      </c>
      <c r="I138" s="4">
        <v>661</v>
      </c>
      <c r="J138" s="4">
        <v>831</v>
      </c>
      <c r="K138" s="4">
        <v>1139</v>
      </c>
      <c r="L138" s="4">
        <v>819</v>
      </c>
      <c r="M138" s="4">
        <v>1209</v>
      </c>
      <c r="N138" s="4">
        <v>1320</v>
      </c>
      <c r="O138" s="4">
        <v>1217</v>
      </c>
      <c r="P138" s="4">
        <v>1059</v>
      </c>
    </row>
    <row r="139" spans="1:16">
      <c r="A139" s="46">
        <v>24</v>
      </c>
      <c r="B139" s="2" t="s">
        <v>137</v>
      </c>
      <c r="C139" s="2" t="s">
        <v>205</v>
      </c>
      <c r="D139" s="4">
        <v>358</v>
      </c>
      <c r="E139" s="4">
        <v>545</v>
      </c>
      <c r="F139" s="4">
        <v>1022</v>
      </c>
      <c r="G139" s="4">
        <v>536</v>
      </c>
      <c r="H139" s="4">
        <v>112</v>
      </c>
      <c r="I139" s="4">
        <v>668</v>
      </c>
      <c r="J139" s="4">
        <v>625</v>
      </c>
      <c r="K139" s="4">
        <v>306</v>
      </c>
      <c r="L139" s="4">
        <v>859</v>
      </c>
      <c r="M139" s="4">
        <v>717</v>
      </c>
      <c r="N139" s="4">
        <v>309.5</v>
      </c>
      <c r="O139" s="4">
        <v>437.25</v>
      </c>
      <c r="P139" s="4">
        <v>283</v>
      </c>
    </row>
    <row r="140" spans="1:16">
      <c r="A140" s="46">
        <v>24</v>
      </c>
      <c r="B140" s="2" t="s">
        <v>137</v>
      </c>
      <c r="C140" s="2" t="s">
        <v>206</v>
      </c>
      <c r="D140" s="4">
        <v>16</v>
      </c>
      <c r="E140" s="4">
        <v>0</v>
      </c>
      <c r="F140" s="4">
        <v>37</v>
      </c>
      <c r="G140" s="4">
        <v>15</v>
      </c>
      <c r="H140" s="4">
        <v>9</v>
      </c>
      <c r="I140" s="4">
        <v>14</v>
      </c>
      <c r="J140" s="4">
        <v>47</v>
      </c>
      <c r="K140" s="4">
        <v>33</v>
      </c>
      <c r="L140" s="4">
        <v>0</v>
      </c>
      <c r="M140" s="4">
        <v>21</v>
      </c>
      <c r="N140" s="4">
        <v>79</v>
      </c>
      <c r="O140" s="4">
        <v>42</v>
      </c>
      <c r="P140" s="4">
        <v>67</v>
      </c>
    </row>
    <row r="141" spans="1:16">
      <c r="A141" s="46">
        <v>24</v>
      </c>
      <c r="B141" s="2" t="s">
        <v>137</v>
      </c>
      <c r="C141" s="2" t="s">
        <v>207</v>
      </c>
      <c r="D141" s="4">
        <v>2</v>
      </c>
      <c r="E141" s="4">
        <v>42</v>
      </c>
      <c r="F141" s="4">
        <v>15</v>
      </c>
      <c r="G141" s="4">
        <v>12</v>
      </c>
      <c r="H141" s="4">
        <v>15</v>
      </c>
      <c r="I141" s="4">
        <v>14</v>
      </c>
      <c r="J141" s="4">
        <v>56</v>
      </c>
      <c r="K141" s="4">
        <v>37.545000000000002</v>
      </c>
      <c r="L141" s="4">
        <v>21</v>
      </c>
      <c r="M141" s="4">
        <v>34</v>
      </c>
      <c r="N141" s="4">
        <v>76</v>
      </c>
      <c r="O141" s="4">
        <v>58</v>
      </c>
      <c r="P141" s="4">
        <v>17</v>
      </c>
    </row>
    <row r="142" spans="1:16">
      <c r="A142" s="46">
        <v>25</v>
      </c>
      <c r="B142" s="2" t="s">
        <v>139</v>
      </c>
      <c r="C142" s="2" t="s">
        <v>202</v>
      </c>
      <c r="D142" s="4">
        <v>246</v>
      </c>
      <c r="E142" s="4">
        <v>257</v>
      </c>
      <c r="F142" s="4">
        <v>370</v>
      </c>
      <c r="G142" s="4">
        <v>407.5</v>
      </c>
      <c r="H142" s="4">
        <v>341</v>
      </c>
      <c r="I142" s="4">
        <v>346</v>
      </c>
      <c r="J142" s="4">
        <v>327</v>
      </c>
      <c r="K142" s="4">
        <v>327</v>
      </c>
      <c r="L142" s="4">
        <v>213</v>
      </c>
      <c r="M142" s="4">
        <v>763</v>
      </c>
      <c r="N142" s="4">
        <v>207</v>
      </c>
      <c r="O142" s="4">
        <v>208</v>
      </c>
      <c r="P142" s="4">
        <v>145</v>
      </c>
    </row>
    <row r="143" spans="1:16">
      <c r="A143" s="46">
        <v>25</v>
      </c>
      <c r="B143" s="2" t="s">
        <v>139</v>
      </c>
      <c r="C143" s="2" t="s">
        <v>203</v>
      </c>
      <c r="D143" s="4">
        <v>618</v>
      </c>
      <c r="E143" s="4">
        <v>1382</v>
      </c>
      <c r="F143" s="4">
        <v>503</v>
      </c>
      <c r="G143" s="4">
        <v>566</v>
      </c>
      <c r="H143" s="4">
        <v>489</v>
      </c>
      <c r="I143" s="4">
        <v>812</v>
      </c>
      <c r="J143" s="4">
        <v>758</v>
      </c>
      <c r="K143" s="4">
        <v>421</v>
      </c>
      <c r="L143" s="4">
        <v>1772</v>
      </c>
      <c r="M143" s="4">
        <v>1218</v>
      </c>
      <c r="N143" s="4">
        <v>1338</v>
      </c>
      <c r="O143" s="4">
        <v>565</v>
      </c>
      <c r="P143" s="4">
        <v>2029</v>
      </c>
    </row>
    <row r="144" spans="1:16">
      <c r="A144" s="46">
        <v>25</v>
      </c>
      <c r="B144" s="2" t="s">
        <v>139</v>
      </c>
      <c r="C144" s="2" t="s">
        <v>204</v>
      </c>
      <c r="D144" s="4">
        <v>2759</v>
      </c>
      <c r="E144" s="4">
        <v>1026</v>
      </c>
      <c r="F144" s="4">
        <v>1373</v>
      </c>
      <c r="G144" s="4">
        <v>1612</v>
      </c>
      <c r="H144" s="4">
        <v>3165</v>
      </c>
      <c r="I144" s="4">
        <v>2858</v>
      </c>
      <c r="J144" s="4">
        <v>2052</v>
      </c>
      <c r="K144" s="4">
        <v>1606</v>
      </c>
      <c r="L144" s="4">
        <v>3533</v>
      </c>
      <c r="M144" s="4">
        <v>1915</v>
      </c>
      <c r="N144" s="4">
        <v>1519</v>
      </c>
      <c r="O144" s="4">
        <v>2585</v>
      </c>
      <c r="P144" s="4">
        <v>901</v>
      </c>
    </row>
    <row r="145" spans="1:16">
      <c r="A145" s="46">
        <v>25</v>
      </c>
      <c r="B145" s="2" t="s">
        <v>139</v>
      </c>
      <c r="C145" s="2" t="s">
        <v>205</v>
      </c>
      <c r="D145" s="4">
        <v>1493</v>
      </c>
      <c r="E145" s="4">
        <v>2326</v>
      </c>
      <c r="F145" s="4">
        <v>1182</v>
      </c>
      <c r="G145" s="4">
        <v>1510</v>
      </c>
      <c r="H145" s="4">
        <v>1593</v>
      </c>
      <c r="I145" s="4">
        <v>793</v>
      </c>
      <c r="J145" s="4">
        <v>785</v>
      </c>
      <c r="K145" s="4">
        <v>876</v>
      </c>
      <c r="L145" s="4">
        <v>2024</v>
      </c>
      <c r="M145" s="4">
        <v>857</v>
      </c>
      <c r="N145" s="4">
        <v>749</v>
      </c>
      <c r="O145" s="4">
        <v>1116</v>
      </c>
      <c r="P145" s="4">
        <v>653</v>
      </c>
    </row>
    <row r="146" spans="1:16">
      <c r="A146" s="46">
        <v>25</v>
      </c>
      <c r="B146" s="2" t="s">
        <v>139</v>
      </c>
      <c r="C146" s="2" t="s">
        <v>206</v>
      </c>
      <c r="D146" s="4">
        <v>22</v>
      </c>
      <c r="E146" s="4">
        <v>53</v>
      </c>
      <c r="F146" s="4">
        <v>8</v>
      </c>
      <c r="G146" s="4">
        <v>2</v>
      </c>
      <c r="H146" s="4">
        <v>148</v>
      </c>
      <c r="I146" s="4">
        <v>13</v>
      </c>
      <c r="J146" s="4">
        <v>89</v>
      </c>
      <c r="K146" s="4">
        <v>16</v>
      </c>
      <c r="L146" s="4">
        <v>139</v>
      </c>
      <c r="M146" s="4">
        <v>45</v>
      </c>
      <c r="N146" s="4">
        <v>10</v>
      </c>
      <c r="O146" s="4">
        <v>4</v>
      </c>
      <c r="P146" s="4">
        <v>13</v>
      </c>
    </row>
    <row r="147" spans="1:16">
      <c r="A147" s="46">
        <v>25</v>
      </c>
      <c r="B147" s="2" t="s">
        <v>139</v>
      </c>
      <c r="C147" s="2" t="s">
        <v>207</v>
      </c>
      <c r="D147" s="4">
        <v>59</v>
      </c>
      <c r="E147" s="4">
        <v>80</v>
      </c>
      <c r="F147" s="4">
        <v>50</v>
      </c>
      <c r="G147" s="4">
        <v>30.5</v>
      </c>
      <c r="H147" s="4">
        <v>50</v>
      </c>
      <c r="I147" s="4">
        <v>44</v>
      </c>
      <c r="J147" s="4">
        <v>28</v>
      </c>
      <c r="K147" s="4">
        <v>31</v>
      </c>
      <c r="L147" s="4">
        <v>27</v>
      </c>
      <c r="M147" s="4">
        <v>30</v>
      </c>
      <c r="N147" s="4">
        <v>30</v>
      </c>
      <c r="O147" s="4">
        <v>38</v>
      </c>
      <c r="P147" s="4">
        <v>6</v>
      </c>
    </row>
    <row r="148" spans="1:16">
      <c r="A148" s="46">
        <v>26</v>
      </c>
      <c r="B148" s="2" t="s">
        <v>141</v>
      </c>
      <c r="C148" s="2" t="s">
        <v>202</v>
      </c>
      <c r="D148" s="4">
        <v>84</v>
      </c>
      <c r="E148" s="4">
        <v>57</v>
      </c>
      <c r="F148" s="4">
        <v>96</v>
      </c>
      <c r="G148" s="4">
        <v>101</v>
      </c>
      <c r="H148" s="4">
        <v>240</v>
      </c>
      <c r="I148" s="4">
        <v>68</v>
      </c>
      <c r="J148" s="4">
        <v>178</v>
      </c>
      <c r="K148" s="4">
        <v>196.5</v>
      </c>
      <c r="L148" s="4">
        <v>280</v>
      </c>
      <c r="M148" s="4">
        <v>169</v>
      </c>
      <c r="N148" s="4">
        <v>136</v>
      </c>
      <c r="O148" s="4">
        <v>154</v>
      </c>
      <c r="P148" s="4">
        <v>146</v>
      </c>
    </row>
    <row r="149" spans="1:16">
      <c r="A149" s="46">
        <v>26</v>
      </c>
      <c r="B149" s="2" t="s">
        <v>141</v>
      </c>
      <c r="C149" s="2" t="s">
        <v>203</v>
      </c>
      <c r="D149" s="4">
        <v>474</v>
      </c>
      <c r="E149" s="4">
        <v>128</v>
      </c>
      <c r="F149" s="4">
        <v>93</v>
      </c>
      <c r="G149" s="4">
        <v>260</v>
      </c>
      <c r="H149" s="4">
        <v>155</v>
      </c>
      <c r="I149" s="4">
        <v>151</v>
      </c>
      <c r="J149" s="4">
        <v>166</v>
      </c>
      <c r="K149" s="4">
        <v>56.5</v>
      </c>
      <c r="L149" s="4">
        <v>86</v>
      </c>
      <c r="M149" s="4">
        <v>47</v>
      </c>
      <c r="N149" s="4">
        <v>177</v>
      </c>
      <c r="O149" s="4">
        <v>65</v>
      </c>
      <c r="P149" s="4">
        <v>88</v>
      </c>
    </row>
    <row r="150" spans="1:16">
      <c r="A150" s="46">
        <v>26</v>
      </c>
      <c r="B150" s="2" t="s">
        <v>141</v>
      </c>
      <c r="C150" s="2" t="s">
        <v>204</v>
      </c>
      <c r="D150" s="4">
        <v>1032</v>
      </c>
      <c r="E150" s="4">
        <v>314</v>
      </c>
      <c r="F150" s="4">
        <v>662</v>
      </c>
      <c r="G150" s="4">
        <v>703</v>
      </c>
      <c r="H150" s="4">
        <v>750</v>
      </c>
      <c r="I150" s="4">
        <v>645</v>
      </c>
      <c r="J150" s="4">
        <v>516</v>
      </c>
      <c r="K150" s="4">
        <v>1124</v>
      </c>
      <c r="L150" s="4">
        <v>650</v>
      </c>
      <c r="M150" s="4">
        <v>1469</v>
      </c>
      <c r="N150" s="4">
        <v>888</v>
      </c>
      <c r="O150" s="4">
        <v>1661</v>
      </c>
      <c r="P150" s="4">
        <v>1421</v>
      </c>
    </row>
    <row r="151" spans="1:16">
      <c r="A151" s="46">
        <v>26</v>
      </c>
      <c r="B151" s="2" t="s">
        <v>141</v>
      </c>
      <c r="C151" s="2" t="s">
        <v>205</v>
      </c>
      <c r="D151" s="4">
        <v>391</v>
      </c>
      <c r="E151" s="4">
        <v>286</v>
      </c>
      <c r="F151" s="4">
        <v>-78</v>
      </c>
      <c r="G151" s="4">
        <v>151</v>
      </c>
      <c r="H151" s="4">
        <v>208</v>
      </c>
      <c r="I151" s="4">
        <v>254</v>
      </c>
      <c r="J151" s="4">
        <v>305</v>
      </c>
      <c r="K151" s="4">
        <v>154</v>
      </c>
      <c r="L151" s="4">
        <v>274</v>
      </c>
      <c r="M151" s="4">
        <v>207</v>
      </c>
      <c r="N151" s="4">
        <v>137</v>
      </c>
      <c r="O151" s="4">
        <v>72</v>
      </c>
      <c r="P151" s="4">
        <v>254</v>
      </c>
    </row>
    <row r="152" spans="1:16">
      <c r="A152" s="46">
        <v>26</v>
      </c>
      <c r="B152" s="2" t="s">
        <v>141</v>
      </c>
      <c r="C152" s="2" t="s">
        <v>206</v>
      </c>
      <c r="D152" s="4">
        <v>26</v>
      </c>
      <c r="E152" s="4">
        <v>0</v>
      </c>
      <c r="F152" s="4">
        <v>4</v>
      </c>
      <c r="G152" s="4">
        <v>2</v>
      </c>
      <c r="H152" s="4">
        <v>1</v>
      </c>
      <c r="I152" s="4">
        <v>17</v>
      </c>
      <c r="J152" s="4">
        <v>4</v>
      </c>
      <c r="K152" s="4">
        <v>5</v>
      </c>
      <c r="L152" s="4">
        <v>1</v>
      </c>
      <c r="M152" s="4">
        <v>3</v>
      </c>
      <c r="N152" s="4">
        <v>2</v>
      </c>
      <c r="O152" s="4">
        <v>7</v>
      </c>
      <c r="P152" s="4">
        <v>9</v>
      </c>
    </row>
    <row r="153" spans="1:16">
      <c r="A153" s="46">
        <v>26</v>
      </c>
      <c r="B153" s="2" t="s">
        <v>141</v>
      </c>
      <c r="C153" s="2" t="s">
        <v>207</v>
      </c>
      <c r="D153" s="4">
        <v>25</v>
      </c>
      <c r="E153" s="4">
        <v>5</v>
      </c>
      <c r="F153" s="4">
        <v>9</v>
      </c>
      <c r="G153" s="4">
        <v>3</v>
      </c>
      <c r="H153" s="4">
        <v>7</v>
      </c>
      <c r="I153" s="4">
        <v>1</v>
      </c>
      <c r="J153" s="4">
        <v>14</v>
      </c>
      <c r="K153" s="4">
        <v>1</v>
      </c>
      <c r="L153" s="4">
        <v>10</v>
      </c>
      <c r="M153" s="4">
        <v>22</v>
      </c>
      <c r="N153" s="4">
        <v>17</v>
      </c>
      <c r="O153" s="4">
        <v>10</v>
      </c>
      <c r="P153" s="4">
        <v>1</v>
      </c>
    </row>
    <row r="154" spans="1:16">
      <c r="A154" s="46">
        <v>27</v>
      </c>
      <c r="B154" s="2" t="s">
        <v>143</v>
      </c>
      <c r="C154" s="2" t="s">
        <v>202</v>
      </c>
      <c r="D154" s="3"/>
      <c r="E154" s="3"/>
      <c r="F154" s="3"/>
      <c r="G154" s="3"/>
      <c r="H154" s="3"/>
      <c r="I154" s="3"/>
      <c r="J154" s="4">
        <v>0</v>
      </c>
      <c r="K154" s="3"/>
      <c r="L154" s="4">
        <v>0</v>
      </c>
      <c r="M154" s="4">
        <v>1</v>
      </c>
      <c r="N154" s="4">
        <v>0</v>
      </c>
      <c r="O154" s="4">
        <v>0</v>
      </c>
      <c r="P154" s="4">
        <v>0</v>
      </c>
    </row>
    <row r="155" spans="1:16">
      <c r="A155" s="46">
        <v>27</v>
      </c>
      <c r="B155" s="2" t="s">
        <v>143</v>
      </c>
      <c r="C155" s="2" t="s">
        <v>203</v>
      </c>
      <c r="D155" s="3"/>
      <c r="E155" s="3"/>
      <c r="F155" s="3"/>
      <c r="G155" s="4">
        <v>502</v>
      </c>
      <c r="H155" s="4">
        <v>277</v>
      </c>
      <c r="I155" s="4">
        <v>736</v>
      </c>
      <c r="J155" s="4">
        <v>960</v>
      </c>
      <c r="K155" s="4">
        <v>1480</v>
      </c>
      <c r="L155" s="4">
        <v>2472</v>
      </c>
      <c r="M155" s="4">
        <v>1880</v>
      </c>
      <c r="N155" s="4">
        <v>1920</v>
      </c>
      <c r="O155" s="4">
        <v>2864</v>
      </c>
      <c r="P155" s="4">
        <v>2240</v>
      </c>
    </row>
    <row r="156" spans="1:16">
      <c r="A156" s="46">
        <v>27</v>
      </c>
      <c r="B156" s="2" t="s">
        <v>143</v>
      </c>
      <c r="C156" s="2" t="s">
        <v>204</v>
      </c>
      <c r="D156" s="3"/>
      <c r="E156" s="3"/>
      <c r="F156" s="3"/>
      <c r="G156" s="4">
        <v>0</v>
      </c>
      <c r="H156" s="3"/>
      <c r="I156" s="3"/>
      <c r="J156" s="3"/>
      <c r="K156" s="3"/>
      <c r="L156" s="3"/>
      <c r="M156" s="3"/>
      <c r="N156" s="4">
        <v>0</v>
      </c>
      <c r="O156" s="4">
        <v>0</v>
      </c>
      <c r="P156" s="4">
        <v>0</v>
      </c>
    </row>
    <row r="157" spans="1:16">
      <c r="A157" s="46">
        <v>27</v>
      </c>
      <c r="B157" s="2" t="s">
        <v>143</v>
      </c>
      <c r="C157" s="2" t="s">
        <v>205</v>
      </c>
      <c r="D157" s="3"/>
      <c r="E157" s="3"/>
      <c r="F157" s="3"/>
      <c r="G157" s="3"/>
      <c r="H157" s="3"/>
      <c r="I157" s="3"/>
      <c r="J157" s="3"/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>
      <c r="A158" s="46">
        <v>27</v>
      </c>
      <c r="B158" s="2" t="s">
        <v>143</v>
      </c>
      <c r="C158" s="2" t="s">
        <v>206</v>
      </c>
      <c r="D158" s="3"/>
      <c r="E158" s="3"/>
      <c r="F158" s="3"/>
      <c r="G158" s="3"/>
      <c r="H158" s="3"/>
      <c r="I158" s="3"/>
      <c r="J158" s="3"/>
      <c r="K158" s="3"/>
      <c r="L158" s="4">
        <v>0</v>
      </c>
      <c r="M158" s="4">
        <v>0</v>
      </c>
      <c r="N158" s="4">
        <v>0</v>
      </c>
      <c r="O158" s="4">
        <v>0</v>
      </c>
      <c r="P158" s="4">
        <v>0</v>
      </c>
    </row>
    <row r="159" spans="1:16">
      <c r="A159" s="46">
        <v>27</v>
      </c>
      <c r="B159" s="2" t="s">
        <v>143</v>
      </c>
      <c r="C159" s="2" t="s">
        <v>207</v>
      </c>
      <c r="D159" s="3"/>
      <c r="E159" s="3"/>
      <c r="F159" s="3"/>
      <c r="G159" s="3"/>
      <c r="H159" s="3"/>
      <c r="I159" s="3"/>
      <c r="J159" s="4">
        <v>0</v>
      </c>
      <c r="K159" s="4">
        <v>0</v>
      </c>
      <c r="L159" s="4">
        <v>0</v>
      </c>
      <c r="M159" s="4">
        <v>0</v>
      </c>
      <c r="N159" s="4">
        <v>1</v>
      </c>
      <c r="O159" s="4">
        <v>0</v>
      </c>
      <c r="P159" s="4">
        <v>0</v>
      </c>
    </row>
    <row r="160" spans="1:16">
      <c r="A160" s="46">
        <v>28</v>
      </c>
      <c r="B160" s="2" t="s">
        <v>145</v>
      </c>
      <c r="C160" s="2" t="s">
        <v>202</v>
      </c>
      <c r="D160" s="4">
        <v>0</v>
      </c>
      <c r="E160" s="4">
        <v>104</v>
      </c>
      <c r="F160" s="4">
        <v>-28</v>
      </c>
      <c r="G160" s="4">
        <v>276</v>
      </c>
      <c r="H160" s="4">
        <v>112</v>
      </c>
      <c r="I160" s="4">
        <v>4.3229000000000006</v>
      </c>
      <c r="J160" s="4">
        <v>2</v>
      </c>
      <c r="K160" s="4">
        <v>2</v>
      </c>
      <c r="L160" s="4">
        <v>121</v>
      </c>
      <c r="M160" s="4">
        <v>2</v>
      </c>
      <c r="N160" s="4">
        <v>33</v>
      </c>
      <c r="O160" s="4">
        <v>30</v>
      </c>
      <c r="P160" s="4">
        <v>55</v>
      </c>
    </row>
    <row r="161" spans="1:16">
      <c r="A161" s="46">
        <v>28</v>
      </c>
      <c r="B161" s="2" t="s">
        <v>145</v>
      </c>
      <c r="C161" s="2" t="s">
        <v>203</v>
      </c>
      <c r="D161" s="4">
        <v>2</v>
      </c>
      <c r="E161" s="4">
        <v>10</v>
      </c>
      <c r="F161" s="4">
        <v>17</v>
      </c>
      <c r="G161" s="4">
        <v>16</v>
      </c>
      <c r="H161" s="4">
        <v>4</v>
      </c>
      <c r="I161" s="4">
        <v>7.1201999999999996</v>
      </c>
      <c r="J161" s="4">
        <v>16</v>
      </c>
      <c r="K161" s="4">
        <v>16</v>
      </c>
      <c r="L161" s="4">
        <v>6</v>
      </c>
      <c r="M161" s="4">
        <v>12.5</v>
      </c>
      <c r="N161" s="4">
        <v>9</v>
      </c>
      <c r="O161" s="4">
        <v>4</v>
      </c>
      <c r="P161" s="4">
        <v>1</v>
      </c>
    </row>
    <row r="162" spans="1:16">
      <c r="A162" s="46">
        <v>28</v>
      </c>
      <c r="B162" s="2" t="s">
        <v>145</v>
      </c>
      <c r="C162" s="2" t="s">
        <v>204</v>
      </c>
      <c r="D162" s="4">
        <v>1255</v>
      </c>
      <c r="E162" s="4">
        <v>31</v>
      </c>
      <c r="F162" s="4">
        <v>379</v>
      </c>
      <c r="G162" s="4">
        <v>101</v>
      </c>
      <c r="H162" s="4">
        <v>317</v>
      </c>
      <c r="I162" s="4">
        <v>537</v>
      </c>
      <c r="J162" s="4">
        <v>409</v>
      </c>
      <c r="K162" s="4">
        <v>905</v>
      </c>
      <c r="L162" s="4">
        <v>279</v>
      </c>
      <c r="M162" s="4">
        <v>192</v>
      </c>
      <c r="N162" s="4">
        <v>291</v>
      </c>
      <c r="O162" s="4">
        <v>358</v>
      </c>
      <c r="P162" s="4">
        <v>435</v>
      </c>
    </row>
    <row r="163" spans="1:16">
      <c r="A163" s="46">
        <v>28</v>
      </c>
      <c r="B163" s="2" t="s">
        <v>145</v>
      </c>
      <c r="C163" s="2" t="s">
        <v>205</v>
      </c>
      <c r="D163" s="4">
        <v>83</v>
      </c>
      <c r="E163" s="4">
        <v>180</v>
      </c>
      <c r="F163" s="4">
        <v>63</v>
      </c>
      <c r="G163" s="4">
        <v>34</v>
      </c>
      <c r="H163" s="4">
        <v>52</v>
      </c>
      <c r="I163" s="4">
        <v>6.4824000000000002</v>
      </c>
      <c r="J163" s="4">
        <v>69</v>
      </c>
      <c r="K163" s="4">
        <v>93</v>
      </c>
      <c r="L163" s="4">
        <v>10</v>
      </c>
      <c r="M163" s="4">
        <v>71</v>
      </c>
      <c r="N163" s="4">
        <v>46</v>
      </c>
      <c r="O163" s="4">
        <v>2</v>
      </c>
      <c r="P163" s="4">
        <v>4</v>
      </c>
    </row>
    <row r="164" spans="1:16">
      <c r="A164" s="46">
        <v>28</v>
      </c>
      <c r="B164" s="2" t="s">
        <v>145</v>
      </c>
      <c r="C164" s="2" t="s">
        <v>206</v>
      </c>
      <c r="D164" s="4">
        <v>293</v>
      </c>
      <c r="E164" s="4">
        <v>345</v>
      </c>
      <c r="F164" s="4">
        <v>286</v>
      </c>
      <c r="G164" s="4">
        <v>55</v>
      </c>
      <c r="H164" s="4">
        <v>71</v>
      </c>
      <c r="I164" s="4">
        <v>842.07449999999994</v>
      </c>
      <c r="J164" s="4">
        <v>1372</v>
      </c>
      <c r="K164" s="4">
        <v>1022</v>
      </c>
      <c r="L164" s="4">
        <v>765</v>
      </c>
      <c r="M164" s="4">
        <v>1636.5</v>
      </c>
      <c r="N164" s="4">
        <v>180</v>
      </c>
      <c r="O164" s="4">
        <v>376</v>
      </c>
      <c r="P164" s="4">
        <v>448</v>
      </c>
    </row>
    <row r="165" spans="1:16">
      <c r="A165" s="46">
        <v>28</v>
      </c>
      <c r="B165" s="2" t="s">
        <v>145</v>
      </c>
      <c r="C165" s="2" t="s">
        <v>207</v>
      </c>
      <c r="D165" s="4">
        <v>8</v>
      </c>
      <c r="E165" s="4">
        <v>2</v>
      </c>
      <c r="F165" s="4">
        <v>41</v>
      </c>
      <c r="G165" s="4">
        <v>52</v>
      </c>
      <c r="H165" s="4">
        <v>41</v>
      </c>
      <c r="I165" s="4">
        <v>62</v>
      </c>
      <c r="J165" s="4">
        <v>6</v>
      </c>
      <c r="K165" s="4">
        <v>20</v>
      </c>
      <c r="L165" s="4">
        <v>3</v>
      </c>
      <c r="M165" s="4">
        <v>25</v>
      </c>
      <c r="N165" s="4">
        <v>21</v>
      </c>
      <c r="O165" s="4">
        <v>57</v>
      </c>
      <c r="P165" s="4">
        <v>0</v>
      </c>
    </row>
    <row r="166" spans="1:16">
      <c r="A166" s="46">
        <v>29</v>
      </c>
      <c r="B166" s="2" t="s">
        <v>147</v>
      </c>
      <c r="C166" s="2" t="s">
        <v>202</v>
      </c>
      <c r="D166" s="3"/>
      <c r="E166" s="3"/>
      <c r="F166" s="3"/>
      <c r="G166" s="4">
        <v>0</v>
      </c>
      <c r="H166" s="3"/>
      <c r="I166" s="4">
        <v>0</v>
      </c>
      <c r="J166" s="4">
        <v>29</v>
      </c>
      <c r="K166" s="4">
        <v>42</v>
      </c>
      <c r="L166" s="4">
        <v>1</v>
      </c>
      <c r="M166" s="4">
        <v>33</v>
      </c>
      <c r="N166" s="4">
        <v>24</v>
      </c>
      <c r="O166" s="4">
        <v>36.5</v>
      </c>
      <c r="P166" s="4">
        <v>17.5</v>
      </c>
    </row>
    <row r="167" spans="1:16">
      <c r="A167" s="46">
        <v>29</v>
      </c>
      <c r="B167" s="2" t="s">
        <v>147</v>
      </c>
      <c r="C167" s="2" t="s">
        <v>203</v>
      </c>
      <c r="D167" s="3"/>
      <c r="E167" s="3"/>
      <c r="F167" s="3"/>
      <c r="G167" s="3"/>
      <c r="H167" s="4">
        <v>10</v>
      </c>
      <c r="I167" s="4">
        <v>20</v>
      </c>
      <c r="J167" s="4">
        <v>16</v>
      </c>
      <c r="K167" s="4">
        <v>32</v>
      </c>
      <c r="L167" s="4">
        <v>174</v>
      </c>
      <c r="M167" s="4">
        <v>111</v>
      </c>
      <c r="N167" s="4">
        <v>211</v>
      </c>
      <c r="O167" s="4">
        <v>421.5</v>
      </c>
      <c r="P167" s="4">
        <v>118.5</v>
      </c>
    </row>
    <row r="168" spans="1:16">
      <c r="A168" s="46">
        <v>29</v>
      </c>
      <c r="B168" s="2" t="s">
        <v>147</v>
      </c>
      <c r="C168" s="2" t="s">
        <v>204</v>
      </c>
      <c r="D168" s="3"/>
      <c r="E168" s="3"/>
      <c r="F168" s="3"/>
      <c r="G168" s="4">
        <v>1</v>
      </c>
      <c r="H168" s="4">
        <v>24</v>
      </c>
      <c r="I168" s="4">
        <v>16</v>
      </c>
      <c r="J168" s="4">
        <v>23</v>
      </c>
      <c r="K168" s="4">
        <v>41</v>
      </c>
      <c r="L168" s="4">
        <v>60</v>
      </c>
      <c r="M168" s="4">
        <v>144</v>
      </c>
      <c r="N168" s="4">
        <v>112</v>
      </c>
      <c r="O168" s="4">
        <v>184</v>
      </c>
      <c r="P168" s="4">
        <v>43</v>
      </c>
    </row>
    <row r="169" spans="1:16">
      <c r="A169" s="46">
        <v>29</v>
      </c>
      <c r="B169" s="2" t="s">
        <v>147</v>
      </c>
      <c r="C169" s="2" t="s">
        <v>205</v>
      </c>
      <c r="D169" s="3"/>
      <c r="E169" s="3"/>
      <c r="F169" s="3"/>
      <c r="G169" s="3"/>
      <c r="H169" s="4">
        <v>13</v>
      </c>
      <c r="I169" s="4">
        <v>22</v>
      </c>
      <c r="J169" s="4">
        <v>37</v>
      </c>
      <c r="K169" s="4">
        <v>39</v>
      </c>
      <c r="L169" s="4">
        <v>35</v>
      </c>
      <c r="M169" s="4">
        <v>17</v>
      </c>
      <c r="N169" s="4">
        <v>96</v>
      </c>
      <c r="O169" s="4">
        <v>4</v>
      </c>
      <c r="P169" s="4">
        <v>121</v>
      </c>
    </row>
    <row r="170" spans="1:16">
      <c r="A170" s="46">
        <v>29</v>
      </c>
      <c r="B170" s="2" t="s">
        <v>147</v>
      </c>
      <c r="C170" s="2" t="s">
        <v>206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>
        <v>0</v>
      </c>
      <c r="P170" s="4">
        <v>1</v>
      </c>
    </row>
    <row r="171" spans="1:16">
      <c r="A171" s="46">
        <v>29</v>
      </c>
      <c r="B171" s="2" t="s">
        <v>147</v>
      </c>
      <c r="C171" s="2" t="s">
        <v>207</v>
      </c>
      <c r="D171" s="3"/>
      <c r="E171" s="3"/>
      <c r="F171" s="3"/>
      <c r="G171" s="3"/>
      <c r="H171" s="3"/>
      <c r="I171" s="4">
        <v>0</v>
      </c>
      <c r="J171" s="4">
        <v>10</v>
      </c>
      <c r="K171" s="4">
        <v>1</v>
      </c>
      <c r="L171" s="4">
        <v>0</v>
      </c>
      <c r="M171" s="4">
        <v>0</v>
      </c>
      <c r="N171" s="4">
        <v>2</v>
      </c>
      <c r="O171" s="4">
        <v>0</v>
      </c>
      <c r="P171" s="3"/>
    </row>
    <row r="172" spans="1:16">
      <c r="A172" s="46">
        <v>30</v>
      </c>
      <c r="B172" s="2" t="s">
        <v>149</v>
      </c>
      <c r="C172" s="2" t="s">
        <v>202</v>
      </c>
      <c r="D172" s="4">
        <v>99</v>
      </c>
      <c r="E172" s="4">
        <v>506</v>
      </c>
      <c r="F172" s="4">
        <v>388</v>
      </c>
      <c r="G172" s="4">
        <v>131</v>
      </c>
      <c r="H172" s="4">
        <v>1828</v>
      </c>
      <c r="I172" s="4">
        <v>419</v>
      </c>
      <c r="J172" s="4">
        <v>343</v>
      </c>
      <c r="K172" s="4">
        <v>507.7</v>
      </c>
      <c r="L172" s="4">
        <v>154.4</v>
      </c>
      <c r="M172" s="4">
        <v>67</v>
      </c>
      <c r="N172" s="4">
        <v>139</v>
      </c>
      <c r="O172" s="4">
        <v>52</v>
      </c>
      <c r="P172" s="4">
        <v>255.6</v>
      </c>
    </row>
    <row r="173" spans="1:16">
      <c r="A173" s="46">
        <v>30</v>
      </c>
      <c r="B173" s="2" t="s">
        <v>149</v>
      </c>
      <c r="C173" s="2" t="s">
        <v>203</v>
      </c>
      <c r="D173" s="4">
        <v>60</v>
      </c>
      <c r="E173" s="4">
        <v>44</v>
      </c>
      <c r="F173" s="4">
        <v>403</v>
      </c>
      <c r="G173" s="4">
        <v>28</v>
      </c>
      <c r="H173" s="4">
        <v>68</v>
      </c>
      <c r="I173" s="4">
        <v>64</v>
      </c>
      <c r="J173" s="4">
        <v>67</v>
      </c>
      <c r="K173" s="4">
        <v>90</v>
      </c>
      <c r="L173" s="4">
        <v>86</v>
      </c>
      <c r="M173" s="4">
        <v>608</v>
      </c>
      <c r="N173" s="4">
        <v>1020</v>
      </c>
      <c r="O173" s="4">
        <v>962</v>
      </c>
      <c r="P173" s="4">
        <v>127</v>
      </c>
    </row>
    <row r="174" spans="1:16">
      <c r="A174" s="46">
        <v>30</v>
      </c>
      <c r="B174" s="2" t="s">
        <v>149</v>
      </c>
      <c r="C174" s="2" t="s">
        <v>204</v>
      </c>
      <c r="D174" s="4">
        <v>94</v>
      </c>
      <c r="E174" s="4">
        <v>131</v>
      </c>
      <c r="F174" s="4">
        <v>61</v>
      </c>
      <c r="G174" s="4">
        <v>53</v>
      </c>
      <c r="H174" s="4">
        <v>112</v>
      </c>
      <c r="I174" s="4">
        <v>249</v>
      </c>
      <c r="J174" s="4">
        <v>252</v>
      </c>
      <c r="K174" s="4">
        <v>193</v>
      </c>
      <c r="L174" s="4">
        <v>333</v>
      </c>
      <c r="M174" s="4">
        <v>350</v>
      </c>
      <c r="N174" s="4">
        <v>209</v>
      </c>
      <c r="O174" s="4">
        <v>753</v>
      </c>
      <c r="P174" s="4">
        <v>614</v>
      </c>
    </row>
    <row r="175" spans="1:16">
      <c r="A175" s="46">
        <v>30</v>
      </c>
      <c r="B175" s="2" t="s">
        <v>149</v>
      </c>
      <c r="C175" s="2" t="s">
        <v>205</v>
      </c>
      <c r="D175" s="4">
        <v>21</v>
      </c>
      <c r="E175" s="4">
        <v>576</v>
      </c>
      <c r="F175" s="4">
        <v>150</v>
      </c>
      <c r="G175" s="4">
        <v>167</v>
      </c>
      <c r="H175" s="4">
        <v>352</v>
      </c>
      <c r="I175" s="4">
        <v>98</v>
      </c>
      <c r="J175" s="4">
        <v>655</v>
      </c>
      <c r="K175" s="4">
        <v>47.3</v>
      </c>
      <c r="L175" s="4">
        <v>433.6</v>
      </c>
      <c r="M175" s="4">
        <v>269</v>
      </c>
      <c r="N175" s="4">
        <v>98</v>
      </c>
      <c r="O175" s="4">
        <v>135</v>
      </c>
      <c r="P175" s="4">
        <v>209.4</v>
      </c>
    </row>
    <row r="176" spans="1:16">
      <c r="A176" s="46">
        <v>30</v>
      </c>
      <c r="B176" s="2" t="s">
        <v>149</v>
      </c>
      <c r="C176" s="2" t="s">
        <v>206</v>
      </c>
      <c r="D176" s="4">
        <v>0</v>
      </c>
      <c r="E176" s="4">
        <v>2</v>
      </c>
      <c r="F176" s="4">
        <v>5</v>
      </c>
      <c r="G176" s="4">
        <v>1</v>
      </c>
      <c r="H176" s="4">
        <v>0</v>
      </c>
      <c r="I176" s="4">
        <v>117</v>
      </c>
      <c r="J176" s="4">
        <v>-46</v>
      </c>
      <c r="K176" s="4">
        <v>2</v>
      </c>
      <c r="L176" s="4">
        <v>6</v>
      </c>
      <c r="M176" s="4">
        <v>29</v>
      </c>
      <c r="N176" s="4">
        <v>152</v>
      </c>
      <c r="O176" s="4">
        <v>179</v>
      </c>
      <c r="P176" s="4">
        <v>2</v>
      </c>
    </row>
    <row r="177" spans="1:16">
      <c r="A177" s="46">
        <v>30</v>
      </c>
      <c r="B177" s="2" t="s">
        <v>149</v>
      </c>
      <c r="C177" s="2" t="s">
        <v>207</v>
      </c>
      <c r="D177" s="4">
        <v>5</v>
      </c>
      <c r="E177" s="4">
        <v>0</v>
      </c>
      <c r="F177" s="4">
        <v>6</v>
      </c>
      <c r="G177" s="4">
        <v>1</v>
      </c>
      <c r="H177" s="4">
        <v>4</v>
      </c>
      <c r="I177" s="4">
        <v>27</v>
      </c>
      <c r="J177" s="4">
        <v>7</v>
      </c>
      <c r="K177" s="4">
        <v>1</v>
      </c>
      <c r="L177" s="4">
        <v>13</v>
      </c>
      <c r="M177" s="4">
        <v>14</v>
      </c>
      <c r="N177" s="4">
        <v>16</v>
      </c>
      <c r="O177" s="4">
        <v>11</v>
      </c>
      <c r="P177" s="4">
        <v>0</v>
      </c>
    </row>
  </sheetData>
  <mergeCells count="4">
    <mergeCell ref="A1:A3"/>
    <mergeCell ref="B1:B3"/>
    <mergeCell ref="C1:C3"/>
    <mergeCell ref="D1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833E-2B1A-46FA-A6E2-AF220D25C98F}">
  <sheetPr>
    <tabColor theme="8" tint="0.59999389629810485"/>
  </sheetPr>
  <dimension ref="A1:P425"/>
  <sheetViews>
    <sheetView topLeftCell="A132" workbookViewId="0">
      <selection activeCell="P139" sqref="P139:P153"/>
    </sheetView>
  </sheetViews>
  <sheetFormatPr defaultRowHeight="14.65"/>
  <cols>
    <col min="1" max="1" width="9.28515625" style="33"/>
    <col min="2" max="2" width="49.5703125" customWidth="1"/>
    <col min="3" max="3" width="25" customWidth="1"/>
  </cols>
  <sheetData>
    <row r="1" spans="1:16" ht="14.65" customHeight="1">
      <c r="A1" s="95" t="s">
        <v>151</v>
      </c>
      <c r="B1" s="95" t="s">
        <v>194</v>
      </c>
      <c r="C1" s="95" t="s">
        <v>208</v>
      </c>
      <c r="D1" s="97" t="s">
        <v>209</v>
      </c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ht="14.65" customHeight="1">
      <c r="A2" s="95"/>
      <c r="B2" s="95"/>
      <c r="C2" s="95" t="s">
        <v>208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>
      <c r="A3" s="95"/>
      <c r="B3" s="95"/>
      <c r="C3" s="95"/>
      <c r="D3" s="9" t="s">
        <v>197</v>
      </c>
      <c r="E3" s="9" t="s">
        <v>198</v>
      </c>
      <c r="F3" s="9" t="s">
        <v>199</v>
      </c>
      <c r="G3" s="9" t="s">
        <v>200</v>
      </c>
      <c r="H3" s="9" t="s">
        <v>201</v>
      </c>
      <c r="I3" s="9" t="s">
        <v>186</v>
      </c>
      <c r="J3" s="9" t="s">
        <v>187</v>
      </c>
      <c r="K3" s="9" t="s">
        <v>188</v>
      </c>
      <c r="L3" s="9" t="s">
        <v>189</v>
      </c>
      <c r="M3" s="9" t="s">
        <v>190</v>
      </c>
      <c r="N3" s="9" t="s">
        <v>191</v>
      </c>
      <c r="O3" s="9" t="s">
        <v>192</v>
      </c>
      <c r="P3" s="9" t="s">
        <v>193</v>
      </c>
    </row>
    <row r="4" spans="1:16">
      <c r="A4" s="46">
        <v>1</v>
      </c>
      <c r="B4" s="2" t="s">
        <v>91</v>
      </c>
      <c r="C4" s="2" t="s">
        <v>210</v>
      </c>
      <c r="D4" s="4">
        <v>618</v>
      </c>
      <c r="E4" s="4">
        <v>1090</v>
      </c>
      <c r="F4" s="4">
        <v>1024</v>
      </c>
      <c r="G4" s="4">
        <v>834</v>
      </c>
      <c r="H4" s="4">
        <v>866</v>
      </c>
      <c r="I4" s="4">
        <v>583</v>
      </c>
      <c r="J4" s="4">
        <v>1437</v>
      </c>
      <c r="K4" s="4">
        <v>664</v>
      </c>
      <c r="L4" s="4">
        <v>421</v>
      </c>
      <c r="M4" s="4">
        <v>1093</v>
      </c>
      <c r="N4" s="4">
        <v>646</v>
      </c>
      <c r="O4" s="4">
        <v>1078</v>
      </c>
      <c r="P4" s="4">
        <v>618</v>
      </c>
    </row>
    <row r="5" spans="1:16">
      <c r="A5" s="46">
        <v>1</v>
      </c>
      <c r="B5" s="2" t="s">
        <v>91</v>
      </c>
      <c r="C5" s="2" t="s">
        <v>211</v>
      </c>
      <c r="D5" s="4">
        <v>377</v>
      </c>
      <c r="E5" s="4">
        <v>413</v>
      </c>
      <c r="F5" s="4">
        <v>499</v>
      </c>
      <c r="G5" s="4">
        <v>299</v>
      </c>
      <c r="H5" s="4">
        <v>500</v>
      </c>
      <c r="I5" s="4">
        <v>365</v>
      </c>
      <c r="J5" s="4">
        <v>345</v>
      </c>
      <c r="K5" s="4">
        <v>361</v>
      </c>
      <c r="L5" s="4">
        <v>649</v>
      </c>
      <c r="M5" s="4">
        <v>222</v>
      </c>
      <c r="N5" s="4">
        <v>244</v>
      </c>
      <c r="O5" s="4">
        <v>304</v>
      </c>
      <c r="P5" s="4">
        <v>289</v>
      </c>
    </row>
    <row r="6" spans="1:16">
      <c r="A6" s="46">
        <v>1</v>
      </c>
      <c r="B6" s="2" t="s">
        <v>91</v>
      </c>
      <c r="C6" s="2" t="s">
        <v>65</v>
      </c>
      <c r="D6" s="4">
        <v>1175</v>
      </c>
      <c r="E6" s="4">
        <v>2947</v>
      </c>
      <c r="F6" s="4">
        <v>959</v>
      </c>
      <c r="G6" s="4">
        <v>1300</v>
      </c>
      <c r="H6" s="4">
        <v>1032</v>
      </c>
      <c r="I6" s="4">
        <v>946</v>
      </c>
      <c r="J6" s="4">
        <v>1173</v>
      </c>
      <c r="K6" s="4">
        <v>1568</v>
      </c>
      <c r="L6" s="4">
        <v>1065</v>
      </c>
      <c r="M6" s="4">
        <v>936</v>
      </c>
      <c r="N6" s="4">
        <v>1688</v>
      </c>
      <c r="O6" s="4">
        <v>1060</v>
      </c>
      <c r="P6" s="4">
        <v>738</v>
      </c>
    </row>
    <row r="7" spans="1:16">
      <c r="A7" s="46">
        <v>1</v>
      </c>
      <c r="B7" s="2" t="s">
        <v>91</v>
      </c>
      <c r="C7" s="2" t="s">
        <v>67</v>
      </c>
      <c r="D7" s="4">
        <v>4579</v>
      </c>
      <c r="E7" s="4">
        <v>4994</v>
      </c>
      <c r="F7" s="4">
        <v>1827</v>
      </c>
      <c r="G7" s="4">
        <v>3762</v>
      </c>
      <c r="H7" s="4">
        <v>5377</v>
      </c>
      <c r="I7" s="4">
        <v>2059</v>
      </c>
      <c r="J7" s="4">
        <v>3320</v>
      </c>
      <c r="K7" s="4">
        <v>5709</v>
      </c>
      <c r="L7" s="4">
        <v>3438</v>
      </c>
      <c r="M7" s="4">
        <v>3021</v>
      </c>
      <c r="N7" s="4">
        <v>2488</v>
      </c>
      <c r="O7" s="4">
        <v>4111</v>
      </c>
      <c r="P7" s="4">
        <v>3682</v>
      </c>
    </row>
    <row r="8" spans="1:16">
      <c r="A8" s="46">
        <v>1</v>
      </c>
      <c r="B8" s="2" t="s">
        <v>91</v>
      </c>
      <c r="C8" s="2" t="s">
        <v>69</v>
      </c>
      <c r="D8" s="4">
        <v>5269</v>
      </c>
      <c r="E8" s="4">
        <v>4463</v>
      </c>
      <c r="F8" s="4">
        <v>2137</v>
      </c>
      <c r="G8" s="4">
        <v>4334</v>
      </c>
      <c r="H8" s="4">
        <v>2266</v>
      </c>
      <c r="I8" s="4">
        <v>1820</v>
      </c>
      <c r="J8" s="4">
        <v>2550</v>
      </c>
      <c r="K8" s="4">
        <v>3162</v>
      </c>
      <c r="L8" s="4">
        <v>3499</v>
      </c>
      <c r="M8" s="4">
        <v>4353</v>
      </c>
      <c r="N8" s="4">
        <v>2807</v>
      </c>
      <c r="O8" s="4">
        <v>3060</v>
      </c>
      <c r="P8" s="4">
        <v>2253</v>
      </c>
    </row>
    <row r="9" spans="1:16">
      <c r="A9" s="46">
        <v>1</v>
      </c>
      <c r="B9" s="2" t="s">
        <v>91</v>
      </c>
      <c r="C9" s="2" t="s">
        <v>212</v>
      </c>
      <c r="D9" s="4">
        <v>45</v>
      </c>
      <c r="E9" s="4">
        <v>9</v>
      </c>
      <c r="F9" s="4">
        <v>35</v>
      </c>
      <c r="G9" s="4">
        <v>143</v>
      </c>
      <c r="H9" s="4">
        <v>88</v>
      </c>
      <c r="I9" s="4">
        <v>77</v>
      </c>
      <c r="J9" s="4">
        <v>176</v>
      </c>
      <c r="K9" s="4">
        <v>28</v>
      </c>
      <c r="L9" s="4">
        <v>66</v>
      </c>
      <c r="M9" s="4">
        <v>220</v>
      </c>
      <c r="N9" s="4">
        <v>242</v>
      </c>
      <c r="O9" s="4">
        <v>308</v>
      </c>
      <c r="P9" s="4">
        <v>5</v>
      </c>
    </row>
    <row r="10" spans="1:16">
      <c r="A10" s="46">
        <v>1</v>
      </c>
      <c r="B10" s="2" t="s">
        <v>91</v>
      </c>
      <c r="C10" s="2" t="s">
        <v>73</v>
      </c>
      <c r="D10" s="4">
        <v>1731</v>
      </c>
      <c r="E10" s="4">
        <v>1837</v>
      </c>
      <c r="F10" s="4">
        <v>2113</v>
      </c>
      <c r="G10" s="4">
        <v>1625</v>
      </c>
      <c r="H10" s="4">
        <v>813</v>
      </c>
      <c r="I10" s="4">
        <v>1143</v>
      </c>
      <c r="J10" s="4">
        <v>1685</v>
      </c>
      <c r="K10" s="4">
        <v>2480</v>
      </c>
      <c r="L10" s="4">
        <v>1866</v>
      </c>
      <c r="M10" s="4">
        <v>2178</v>
      </c>
      <c r="N10" s="4">
        <v>2277</v>
      </c>
      <c r="O10" s="4">
        <v>2025</v>
      </c>
      <c r="P10" s="4">
        <v>1968</v>
      </c>
    </row>
    <row r="11" spans="1:16">
      <c r="A11" s="46">
        <v>1</v>
      </c>
      <c r="B11" s="2" t="s">
        <v>91</v>
      </c>
      <c r="C11" s="2" t="s">
        <v>213</v>
      </c>
      <c r="D11" s="4">
        <v>-128</v>
      </c>
      <c r="E11" s="4">
        <v>329</v>
      </c>
      <c r="F11" s="4">
        <v>172</v>
      </c>
      <c r="G11" s="4">
        <v>138</v>
      </c>
      <c r="H11" s="4">
        <v>163</v>
      </c>
      <c r="I11" s="4">
        <v>194</v>
      </c>
      <c r="J11" s="4">
        <v>164</v>
      </c>
      <c r="K11" s="4">
        <v>380</v>
      </c>
      <c r="L11" s="4">
        <v>537</v>
      </c>
      <c r="M11" s="4">
        <v>128</v>
      </c>
      <c r="N11" s="4">
        <v>139</v>
      </c>
      <c r="O11" s="4">
        <v>181</v>
      </c>
      <c r="P11" s="4">
        <v>293</v>
      </c>
    </row>
    <row r="12" spans="1:16">
      <c r="A12" s="46">
        <v>1</v>
      </c>
      <c r="B12" s="2" t="s">
        <v>91</v>
      </c>
      <c r="C12" s="2" t="s">
        <v>77</v>
      </c>
      <c r="D12" s="4">
        <v>1006</v>
      </c>
      <c r="E12" s="4">
        <v>1436</v>
      </c>
      <c r="F12" s="4">
        <v>1049</v>
      </c>
      <c r="G12" s="4">
        <v>1288</v>
      </c>
      <c r="H12" s="4">
        <v>332</v>
      </c>
      <c r="I12" s="4">
        <v>653</v>
      </c>
      <c r="J12" s="4">
        <v>1362</v>
      </c>
      <c r="K12" s="4">
        <v>1590</v>
      </c>
      <c r="L12" s="4">
        <v>883</v>
      </c>
      <c r="M12" s="4">
        <v>1154</v>
      </c>
      <c r="N12" s="4">
        <v>644</v>
      </c>
      <c r="O12" s="4">
        <v>841</v>
      </c>
      <c r="P12" s="4">
        <v>642</v>
      </c>
    </row>
    <row r="13" spans="1:16">
      <c r="A13" s="46">
        <v>1</v>
      </c>
      <c r="B13" s="2" t="s">
        <v>91</v>
      </c>
      <c r="C13" s="2" t="s">
        <v>79</v>
      </c>
      <c r="D13" s="4">
        <v>1955</v>
      </c>
      <c r="E13" s="4">
        <v>1479</v>
      </c>
      <c r="F13" s="4">
        <v>379</v>
      </c>
      <c r="G13" s="4">
        <v>345</v>
      </c>
      <c r="H13" s="4">
        <v>165</v>
      </c>
      <c r="I13" s="4">
        <v>505.99999999999994</v>
      </c>
      <c r="J13" s="4">
        <v>3641</v>
      </c>
      <c r="K13" s="4">
        <v>738</v>
      </c>
      <c r="L13" s="4">
        <v>509</v>
      </c>
      <c r="M13" s="4">
        <v>831</v>
      </c>
      <c r="N13" s="4">
        <v>739</v>
      </c>
      <c r="O13" s="4">
        <v>4011</v>
      </c>
      <c r="P13" s="4">
        <v>1627</v>
      </c>
    </row>
    <row r="14" spans="1:16">
      <c r="A14" s="46">
        <v>1</v>
      </c>
      <c r="B14" s="2" t="s">
        <v>91</v>
      </c>
      <c r="C14" s="2" t="s">
        <v>54</v>
      </c>
      <c r="D14" s="4">
        <v>307</v>
      </c>
      <c r="E14" s="4">
        <v>31</v>
      </c>
      <c r="F14" s="4">
        <v>63</v>
      </c>
      <c r="G14" s="4">
        <v>81</v>
      </c>
      <c r="H14" s="4">
        <v>9</v>
      </c>
      <c r="I14" s="4">
        <v>37</v>
      </c>
      <c r="J14" s="4">
        <v>77</v>
      </c>
      <c r="K14" s="4">
        <v>57</v>
      </c>
      <c r="L14" s="4">
        <v>107</v>
      </c>
      <c r="M14" s="4">
        <v>86</v>
      </c>
      <c r="N14" s="4">
        <v>35</v>
      </c>
      <c r="O14" s="4">
        <v>31</v>
      </c>
      <c r="P14" s="4">
        <v>13</v>
      </c>
    </row>
    <row r="15" spans="1:16">
      <c r="A15" s="46">
        <v>1</v>
      </c>
      <c r="B15" s="2" t="s">
        <v>91</v>
      </c>
      <c r="C15" s="2" t="s">
        <v>82</v>
      </c>
      <c r="D15" s="4">
        <v>235</v>
      </c>
      <c r="E15" s="4">
        <v>561</v>
      </c>
      <c r="F15" s="4">
        <v>182</v>
      </c>
      <c r="G15" s="4">
        <v>173</v>
      </c>
      <c r="H15" s="4">
        <v>131</v>
      </c>
      <c r="I15" s="4">
        <v>179</v>
      </c>
      <c r="J15" s="4">
        <v>132</v>
      </c>
      <c r="K15" s="4">
        <v>311</v>
      </c>
      <c r="L15" s="4">
        <v>265</v>
      </c>
      <c r="M15" s="4">
        <v>164</v>
      </c>
      <c r="N15" s="4">
        <v>196</v>
      </c>
      <c r="O15" s="4">
        <v>222</v>
      </c>
      <c r="P15" s="4">
        <v>99</v>
      </c>
    </row>
    <row r="16" spans="1:16">
      <c r="A16" s="46">
        <v>1</v>
      </c>
      <c r="B16" s="2" t="s">
        <v>91</v>
      </c>
      <c r="C16" s="2" t="s">
        <v>84</v>
      </c>
      <c r="D16" s="4">
        <v>148</v>
      </c>
      <c r="E16" s="4">
        <v>489</v>
      </c>
      <c r="F16" s="4">
        <v>181</v>
      </c>
      <c r="G16" s="4">
        <v>1101</v>
      </c>
      <c r="H16" s="4">
        <v>57</v>
      </c>
      <c r="I16" s="4">
        <v>92</v>
      </c>
      <c r="J16" s="4">
        <v>198</v>
      </c>
      <c r="K16" s="4">
        <v>121</v>
      </c>
      <c r="L16" s="4">
        <v>302</v>
      </c>
      <c r="M16" s="4">
        <v>688</v>
      </c>
      <c r="N16" s="4">
        <v>93</v>
      </c>
      <c r="O16" s="4">
        <v>351</v>
      </c>
      <c r="P16" s="4">
        <v>110</v>
      </c>
    </row>
    <row r="17" spans="1:16">
      <c r="A17" s="46">
        <v>1</v>
      </c>
      <c r="B17" s="2" t="s">
        <v>91</v>
      </c>
      <c r="C17" s="2" t="s">
        <v>86</v>
      </c>
      <c r="D17" s="4">
        <v>3719</v>
      </c>
      <c r="E17" s="4">
        <v>915</v>
      </c>
      <c r="F17" s="4">
        <v>-114</v>
      </c>
      <c r="G17" s="4">
        <v>542</v>
      </c>
      <c r="H17" s="4">
        <v>594</v>
      </c>
      <c r="I17" s="4">
        <v>654</v>
      </c>
      <c r="J17" s="4">
        <v>1185</v>
      </c>
      <c r="K17" s="4">
        <v>982</v>
      </c>
      <c r="L17" s="4">
        <v>981</v>
      </c>
      <c r="M17" s="4">
        <v>990</v>
      </c>
      <c r="N17" s="4">
        <v>2051</v>
      </c>
      <c r="O17" s="4">
        <v>958</v>
      </c>
      <c r="P17" s="4">
        <v>674</v>
      </c>
    </row>
    <row r="18" spans="1:16">
      <c r="A18" s="46">
        <v>1</v>
      </c>
      <c r="B18" s="2" t="s">
        <v>91</v>
      </c>
      <c r="C18" s="2" t="s">
        <v>214</v>
      </c>
      <c r="D18" s="4">
        <v>210</v>
      </c>
      <c r="E18" s="4">
        <v>154</v>
      </c>
      <c r="F18" s="4">
        <v>81</v>
      </c>
      <c r="G18" s="4">
        <v>135</v>
      </c>
      <c r="H18" s="4">
        <v>40</v>
      </c>
      <c r="I18" s="4">
        <v>132</v>
      </c>
      <c r="J18" s="4">
        <v>83</v>
      </c>
      <c r="K18" s="4">
        <v>373</v>
      </c>
      <c r="L18" s="4">
        <v>119</v>
      </c>
      <c r="M18" s="4">
        <v>194</v>
      </c>
      <c r="N18" s="4">
        <v>106</v>
      </c>
      <c r="O18" s="4">
        <v>122</v>
      </c>
      <c r="P18" s="4">
        <v>134</v>
      </c>
    </row>
    <row r="19" spans="1:16">
      <c r="A19" s="46">
        <v>2</v>
      </c>
      <c r="B19" s="2" t="s">
        <v>93</v>
      </c>
      <c r="C19" s="2" t="s">
        <v>210</v>
      </c>
      <c r="D19" s="4">
        <v>5847</v>
      </c>
      <c r="E19" s="4">
        <v>5880</v>
      </c>
      <c r="F19" s="4">
        <v>10368</v>
      </c>
      <c r="G19" s="4">
        <v>15377</v>
      </c>
      <c r="H19" s="4">
        <v>7277</v>
      </c>
      <c r="I19" s="4">
        <v>7881</v>
      </c>
      <c r="J19" s="4">
        <v>10720</v>
      </c>
      <c r="K19" s="4">
        <v>11877</v>
      </c>
      <c r="L19" s="4">
        <v>9162</v>
      </c>
      <c r="M19" s="4">
        <v>13691</v>
      </c>
      <c r="N19" s="4">
        <v>22860</v>
      </c>
      <c r="O19" s="4">
        <v>15415</v>
      </c>
      <c r="P19" s="4">
        <v>8111</v>
      </c>
    </row>
    <row r="20" spans="1:16">
      <c r="A20" s="46">
        <v>2</v>
      </c>
      <c r="B20" s="2" t="s">
        <v>93</v>
      </c>
      <c r="C20" s="2" t="s">
        <v>211</v>
      </c>
      <c r="D20" s="4">
        <v>22</v>
      </c>
      <c r="E20" s="4">
        <v>467</v>
      </c>
      <c r="F20" s="4">
        <v>488</v>
      </c>
      <c r="G20" s="4">
        <v>1683</v>
      </c>
      <c r="H20" s="4">
        <v>665</v>
      </c>
      <c r="I20" s="4">
        <v>2078</v>
      </c>
      <c r="J20" s="4">
        <v>1284</v>
      </c>
      <c r="K20" s="4">
        <v>3851</v>
      </c>
      <c r="L20" s="4">
        <v>1297</v>
      </c>
      <c r="M20" s="4">
        <v>2386</v>
      </c>
      <c r="N20" s="4">
        <v>1642</v>
      </c>
      <c r="O20" s="4">
        <v>716</v>
      </c>
      <c r="P20" s="4">
        <v>823</v>
      </c>
    </row>
    <row r="21" spans="1:16">
      <c r="A21" s="46">
        <v>2</v>
      </c>
      <c r="B21" s="2" t="s">
        <v>93</v>
      </c>
      <c r="C21" s="2" t="s">
        <v>65</v>
      </c>
      <c r="D21" s="4">
        <v>855</v>
      </c>
      <c r="E21" s="4">
        <v>2830</v>
      </c>
      <c r="F21" s="4">
        <v>9339</v>
      </c>
      <c r="G21" s="4">
        <v>4972</v>
      </c>
      <c r="H21" s="4">
        <v>4067</v>
      </c>
      <c r="I21" s="4">
        <v>3981</v>
      </c>
      <c r="J21" s="4">
        <v>6373</v>
      </c>
      <c r="K21" s="4">
        <v>7590</v>
      </c>
      <c r="L21" s="4">
        <v>8032</v>
      </c>
      <c r="M21" s="4">
        <v>9074</v>
      </c>
      <c r="N21" s="4">
        <v>12372</v>
      </c>
      <c r="O21" s="4">
        <v>8064</v>
      </c>
      <c r="P21" s="4">
        <v>4474</v>
      </c>
    </row>
    <row r="22" spans="1:16">
      <c r="A22" s="46">
        <v>2</v>
      </c>
      <c r="B22" s="2" t="s">
        <v>93</v>
      </c>
      <c r="C22" s="2" t="s">
        <v>67</v>
      </c>
      <c r="D22" s="4">
        <v>5528</v>
      </c>
      <c r="E22" s="4">
        <v>5840</v>
      </c>
      <c r="F22" s="4">
        <v>6304</v>
      </c>
      <c r="G22" s="4">
        <v>11198</v>
      </c>
      <c r="H22" s="4">
        <v>9244</v>
      </c>
      <c r="I22" s="4">
        <v>10606</v>
      </c>
      <c r="J22" s="4">
        <v>10792</v>
      </c>
      <c r="K22" s="4">
        <v>10817</v>
      </c>
      <c r="L22" s="4">
        <v>12692</v>
      </c>
      <c r="M22" s="4">
        <v>15681.000000000002</v>
      </c>
      <c r="N22" s="4">
        <v>13816</v>
      </c>
      <c r="O22" s="4">
        <v>16533</v>
      </c>
      <c r="P22" s="4">
        <v>14419</v>
      </c>
    </row>
    <row r="23" spans="1:16">
      <c r="A23" s="46">
        <v>2</v>
      </c>
      <c r="B23" s="2" t="s">
        <v>93</v>
      </c>
      <c r="C23" s="2" t="s">
        <v>69</v>
      </c>
      <c r="D23" s="4">
        <v>1111</v>
      </c>
      <c r="E23" s="4">
        <v>2838</v>
      </c>
      <c r="F23" s="4">
        <v>5511</v>
      </c>
      <c r="G23" s="4">
        <v>2939</v>
      </c>
      <c r="H23" s="4">
        <v>2469</v>
      </c>
      <c r="I23" s="4">
        <v>9036</v>
      </c>
      <c r="J23" s="4">
        <v>8895</v>
      </c>
      <c r="K23" s="4">
        <v>5712</v>
      </c>
      <c r="L23" s="4">
        <v>2748</v>
      </c>
      <c r="M23" s="4">
        <v>3483</v>
      </c>
      <c r="N23" s="4">
        <v>6679</v>
      </c>
      <c r="O23" s="4">
        <v>2710</v>
      </c>
      <c r="P23" s="4">
        <v>2825</v>
      </c>
    </row>
    <row r="24" spans="1:16">
      <c r="A24" s="46">
        <v>2</v>
      </c>
      <c r="B24" s="2" t="s">
        <v>93</v>
      </c>
      <c r="C24" s="2" t="s">
        <v>212</v>
      </c>
      <c r="D24" s="3"/>
      <c r="E24" s="4">
        <v>30</v>
      </c>
      <c r="F24" s="3"/>
      <c r="G24" s="4">
        <v>264</v>
      </c>
      <c r="H24" s="4">
        <v>72</v>
      </c>
      <c r="I24" s="4">
        <v>4</v>
      </c>
      <c r="J24" s="4">
        <v>59</v>
      </c>
      <c r="K24" s="4">
        <v>9</v>
      </c>
      <c r="L24" s="4">
        <v>46</v>
      </c>
      <c r="M24" s="4">
        <v>53</v>
      </c>
      <c r="N24" s="4">
        <v>15</v>
      </c>
      <c r="O24" s="4">
        <v>10</v>
      </c>
      <c r="P24" s="4">
        <v>7</v>
      </c>
    </row>
    <row r="25" spans="1:16">
      <c r="A25" s="46">
        <v>2</v>
      </c>
      <c r="B25" s="2" t="s">
        <v>93</v>
      </c>
      <c r="C25" s="2" t="s">
        <v>73</v>
      </c>
      <c r="D25" s="4">
        <v>950</v>
      </c>
      <c r="E25" s="4">
        <v>1909</v>
      </c>
      <c r="F25" s="4">
        <v>1448</v>
      </c>
      <c r="G25" s="4">
        <v>3841</v>
      </c>
      <c r="H25" s="4">
        <v>3809</v>
      </c>
      <c r="I25" s="4">
        <v>5315</v>
      </c>
      <c r="J25" s="4">
        <v>3488</v>
      </c>
      <c r="K25" s="4">
        <v>6097</v>
      </c>
      <c r="L25" s="4">
        <v>6155</v>
      </c>
      <c r="M25" s="4">
        <v>5893</v>
      </c>
      <c r="N25" s="4">
        <v>4943</v>
      </c>
      <c r="O25" s="4">
        <v>5270</v>
      </c>
      <c r="P25" s="4">
        <v>6313</v>
      </c>
    </row>
    <row r="26" spans="1:16">
      <c r="A26" s="46">
        <v>2</v>
      </c>
      <c r="B26" s="2" t="s">
        <v>93</v>
      </c>
      <c r="C26" s="2" t="s">
        <v>213</v>
      </c>
      <c r="D26" s="4">
        <v>80</v>
      </c>
      <c r="E26" s="4">
        <v>344</v>
      </c>
      <c r="F26" s="4">
        <v>86</v>
      </c>
      <c r="G26" s="4">
        <v>1146</v>
      </c>
      <c r="H26" s="4">
        <v>499</v>
      </c>
      <c r="I26" s="4">
        <v>387</v>
      </c>
      <c r="J26" s="4">
        <v>765</v>
      </c>
      <c r="K26" s="4">
        <v>1196</v>
      </c>
      <c r="L26" s="4">
        <v>780</v>
      </c>
      <c r="M26" s="4">
        <v>944</v>
      </c>
      <c r="N26" s="4">
        <v>304</v>
      </c>
      <c r="O26" s="4">
        <v>512</v>
      </c>
      <c r="P26" s="4">
        <v>130</v>
      </c>
    </row>
    <row r="27" spans="1:16">
      <c r="A27" s="46">
        <v>2</v>
      </c>
      <c r="B27" s="2" t="s">
        <v>93</v>
      </c>
      <c r="C27" s="2" t="s">
        <v>77</v>
      </c>
      <c r="D27" s="4">
        <v>712</v>
      </c>
      <c r="E27" s="4">
        <v>1978</v>
      </c>
      <c r="F27" s="4">
        <v>2162</v>
      </c>
      <c r="G27" s="4">
        <v>4861</v>
      </c>
      <c r="H27" s="4">
        <v>6113</v>
      </c>
      <c r="I27" s="4">
        <v>2794</v>
      </c>
      <c r="J27" s="4">
        <v>4556</v>
      </c>
      <c r="K27" s="4">
        <v>4946</v>
      </c>
      <c r="L27" s="4">
        <v>4736</v>
      </c>
      <c r="M27" s="4">
        <v>6313</v>
      </c>
      <c r="N27" s="4">
        <v>4456</v>
      </c>
      <c r="O27" s="4">
        <v>3829</v>
      </c>
      <c r="P27" s="4">
        <v>4275</v>
      </c>
    </row>
    <row r="28" spans="1:16">
      <c r="A28" s="46">
        <v>2</v>
      </c>
      <c r="B28" s="2" t="s">
        <v>93</v>
      </c>
      <c r="C28" s="2" t="s">
        <v>79</v>
      </c>
      <c r="D28" s="4">
        <v>1331</v>
      </c>
      <c r="E28" s="4">
        <v>540</v>
      </c>
      <c r="F28" s="4">
        <v>190</v>
      </c>
      <c r="G28" s="4">
        <v>492</v>
      </c>
      <c r="H28" s="4">
        <v>302</v>
      </c>
      <c r="I28" s="4">
        <v>228</v>
      </c>
      <c r="J28" s="4">
        <v>898</v>
      </c>
      <c r="K28" s="4">
        <v>785</v>
      </c>
      <c r="L28" s="4">
        <v>1027</v>
      </c>
      <c r="M28" s="4">
        <v>1374</v>
      </c>
      <c r="N28" s="4">
        <v>959</v>
      </c>
      <c r="O28" s="4">
        <v>852</v>
      </c>
      <c r="P28" s="4">
        <v>1477</v>
      </c>
    </row>
    <row r="29" spans="1:16">
      <c r="A29" s="46">
        <v>2</v>
      </c>
      <c r="B29" s="2" t="s">
        <v>93</v>
      </c>
      <c r="C29" s="2" t="s">
        <v>54</v>
      </c>
      <c r="D29" s="4">
        <v>167</v>
      </c>
      <c r="E29" s="4">
        <v>1193</v>
      </c>
      <c r="F29" s="4">
        <v>345</v>
      </c>
      <c r="G29" s="4">
        <v>231</v>
      </c>
      <c r="H29" s="4">
        <v>1169</v>
      </c>
      <c r="I29" s="4">
        <v>168</v>
      </c>
      <c r="J29" s="4">
        <v>1519</v>
      </c>
      <c r="K29" s="4">
        <v>685</v>
      </c>
      <c r="L29" s="4">
        <v>1051</v>
      </c>
      <c r="M29" s="4">
        <v>459</v>
      </c>
      <c r="N29" s="4">
        <v>2226</v>
      </c>
      <c r="O29" s="4">
        <v>177</v>
      </c>
      <c r="P29" s="4">
        <v>180</v>
      </c>
    </row>
    <row r="30" spans="1:16">
      <c r="A30" s="46">
        <v>2</v>
      </c>
      <c r="B30" s="2" t="s">
        <v>93</v>
      </c>
      <c r="C30" s="2" t="s">
        <v>82</v>
      </c>
      <c r="D30" s="4">
        <v>26</v>
      </c>
      <c r="E30" s="4">
        <v>49</v>
      </c>
      <c r="F30" s="4">
        <v>483</v>
      </c>
      <c r="G30" s="4">
        <v>482</v>
      </c>
      <c r="H30" s="4">
        <v>449</v>
      </c>
      <c r="I30" s="4">
        <v>1955</v>
      </c>
      <c r="J30" s="4">
        <v>431</v>
      </c>
      <c r="K30" s="4">
        <v>637</v>
      </c>
      <c r="L30" s="4">
        <v>1588</v>
      </c>
      <c r="M30" s="4">
        <v>851</v>
      </c>
      <c r="N30" s="4">
        <v>1349</v>
      </c>
      <c r="O30" s="4">
        <v>1415</v>
      </c>
      <c r="P30" s="4">
        <v>1754</v>
      </c>
    </row>
    <row r="31" spans="1:16">
      <c r="A31" s="46">
        <v>2</v>
      </c>
      <c r="B31" s="2" t="s">
        <v>93</v>
      </c>
      <c r="C31" s="2" t="s">
        <v>84</v>
      </c>
      <c r="D31" s="3"/>
      <c r="E31" s="4">
        <v>256</v>
      </c>
      <c r="F31" s="4">
        <v>811</v>
      </c>
      <c r="G31" s="4">
        <v>1950</v>
      </c>
      <c r="H31" s="4">
        <v>814</v>
      </c>
      <c r="I31" s="4">
        <v>4452</v>
      </c>
      <c r="J31" s="4">
        <v>971</v>
      </c>
      <c r="K31" s="4">
        <v>339</v>
      </c>
      <c r="L31" s="4">
        <v>966</v>
      </c>
      <c r="M31" s="4">
        <v>955</v>
      </c>
      <c r="N31" s="4">
        <v>804</v>
      </c>
      <c r="O31" s="4">
        <v>472</v>
      </c>
      <c r="P31" s="4">
        <v>721</v>
      </c>
    </row>
    <row r="32" spans="1:16">
      <c r="A32" s="46">
        <v>2</v>
      </c>
      <c r="B32" s="2" t="s">
        <v>93</v>
      </c>
      <c r="C32" s="2" t="s">
        <v>86</v>
      </c>
      <c r="D32" s="4">
        <v>5037</v>
      </c>
      <c r="E32" s="4">
        <v>6126</v>
      </c>
      <c r="F32" s="4">
        <v>2839</v>
      </c>
      <c r="G32" s="4">
        <v>9454</v>
      </c>
      <c r="H32" s="4">
        <v>4629</v>
      </c>
      <c r="I32" s="4">
        <v>10022</v>
      </c>
      <c r="J32" s="4">
        <v>8356</v>
      </c>
      <c r="K32" s="4">
        <v>11580</v>
      </c>
      <c r="L32" s="4">
        <v>5918</v>
      </c>
      <c r="M32" s="4">
        <v>16533</v>
      </c>
      <c r="N32" s="4">
        <v>14410</v>
      </c>
      <c r="O32" s="4">
        <v>14894</v>
      </c>
      <c r="P32" s="4">
        <v>12190</v>
      </c>
    </row>
    <row r="33" spans="1:16">
      <c r="A33" s="46">
        <v>2</v>
      </c>
      <c r="B33" s="2" t="s">
        <v>93</v>
      </c>
      <c r="C33" s="2" t="s">
        <v>214</v>
      </c>
      <c r="D33" s="4">
        <v>1</v>
      </c>
      <c r="E33" s="4">
        <v>219</v>
      </c>
      <c r="F33" s="4">
        <v>131</v>
      </c>
      <c r="G33" s="4">
        <v>2324</v>
      </c>
      <c r="H33" s="4">
        <v>354</v>
      </c>
      <c r="I33" s="4">
        <v>517</v>
      </c>
      <c r="J33" s="4">
        <v>966</v>
      </c>
      <c r="K33" s="4">
        <v>831</v>
      </c>
      <c r="L33" s="4">
        <v>933</v>
      </c>
      <c r="M33" s="4">
        <v>406</v>
      </c>
      <c r="N33" s="4">
        <v>1008</v>
      </c>
      <c r="O33" s="4">
        <v>625</v>
      </c>
      <c r="P33" s="4">
        <v>619</v>
      </c>
    </row>
    <row r="34" spans="1:16">
      <c r="A34" s="46">
        <v>3</v>
      </c>
      <c r="B34" s="2" t="s">
        <v>95</v>
      </c>
      <c r="C34" s="2" t="s">
        <v>210</v>
      </c>
      <c r="D34" s="4">
        <v>253</v>
      </c>
      <c r="E34" s="4">
        <v>223</v>
      </c>
      <c r="F34" s="4">
        <v>529</v>
      </c>
      <c r="G34" s="4">
        <v>330</v>
      </c>
      <c r="H34" s="4">
        <v>224</v>
      </c>
      <c r="I34" s="4">
        <v>250</v>
      </c>
      <c r="J34" s="4">
        <v>345</v>
      </c>
      <c r="K34" s="4">
        <v>516</v>
      </c>
      <c r="L34" s="4">
        <v>175</v>
      </c>
      <c r="M34" s="4">
        <v>414</v>
      </c>
      <c r="N34" s="4">
        <v>245</v>
      </c>
      <c r="O34" s="4">
        <v>421</v>
      </c>
      <c r="P34" s="4">
        <v>212</v>
      </c>
    </row>
    <row r="35" spans="1:16">
      <c r="A35" s="46">
        <v>3</v>
      </c>
      <c r="B35" s="2" t="s">
        <v>95</v>
      </c>
      <c r="C35" s="2" t="s">
        <v>211</v>
      </c>
      <c r="D35" s="4">
        <v>121</v>
      </c>
      <c r="E35" s="4">
        <v>243</v>
      </c>
      <c r="F35" s="4">
        <v>68</v>
      </c>
      <c r="G35" s="4">
        <v>250</v>
      </c>
      <c r="H35" s="4">
        <v>105</v>
      </c>
      <c r="I35" s="4">
        <v>95</v>
      </c>
      <c r="J35" s="4">
        <v>114</v>
      </c>
      <c r="K35" s="4">
        <v>153</v>
      </c>
      <c r="L35" s="4">
        <v>166</v>
      </c>
      <c r="M35" s="4">
        <v>191</v>
      </c>
      <c r="N35" s="4">
        <v>225</v>
      </c>
      <c r="O35" s="4">
        <v>189</v>
      </c>
      <c r="P35" s="4">
        <v>178</v>
      </c>
    </row>
    <row r="36" spans="1:16">
      <c r="A36" s="46">
        <v>3</v>
      </c>
      <c r="B36" s="2" t="s">
        <v>95</v>
      </c>
      <c r="C36" s="2" t="s">
        <v>65</v>
      </c>
      <c r="D36" s="4">
        <v>292</v>
      </c>
      <c r="E36" s="4">
        <v>448</v>
      </c>
      <c r="F36" s="4">
        <v>407</v>
      </c>
      <c r="G36" s="4">
        <v>451</v>
      </c>
      <c r="H36" s="4">
        <v>380</v>
      </c>
      <c r="I36" s="4">
        <v>344</v>
      </c>
      <c r="J36" s="4">
        <v>655</v>
      </c>
      <c r="K36" s="4">
        <v>529</v>
      </c>
      <c r="L36" s="4">
        <v>349</v>
      </c>
      <c r="M36" s="4">
        <v>623</v>
      </c>
      <c r="N36" s="4">
        <v>505</v>
      </c>
      <c r="O36" s="4">
        <v>722</v>
      </c>
      <c r="P36" s="4">
        <v>632</v>
      </c>
    </row>
    <row r="37" spans="1:16">
      <c r="A37" s="46">
        <v>3</v>
      </c>
      <c r="B37" s="2" t="s">
        <v>95</v>
      </c>
      <c r="C37" s="2" t="s">
        <v>67</v>
      </c>
      <c r="D37" s="4">
        <v>872</v>
      </c>
      <c r="E37" s="4">
        <v>972</v>
      </c>
      <c r="F37" s="4">
        <v>933</v>
      </c>
      <c r="G37" s="4">
        <v>1100</v>
      </c>
      <c r="H37" s="4">
        <v>755</v>
      </c>
      <c r="I37" s="4">
        <v>889</v>
      </c>
      <c r="J37" s="4">
        <v>1241</v>
      </c>
      <c r="K37" s="4">
        <v>1289</v>
      </c>
      <c r="L37" s="4">
        <v>1217</v>
      </c>
      <c r="M37" s="4">
        <v>975</v>
      </c>
      <c r="N37" s="4">
        <v>974</v>
      </c>
      <c r="O37" s="4">
        <v>1350</v>
      </c>
      <c r="P37" s="4">
        <v>1650</v>
      </c>
    </row>
    <row r="38" spans="1:16">
      <c r="A38" s="46">
        <v>3</v>
      </c>
      <c r="B38" s="2" t="s">
        <v>95</v>
      </c>
      <c r="C38" s="2" t="s">
        <v>69</v>
      </c>
      <c r="D38" s="4">
        <v>102</v>
      </c>
      <c r="E38" s="4">
        <v>95</v>
      </c>
      <c r="F38" s="4">
        <v>103</v>
      </c>
      <c r="G38" s="4">
        <v>107</v>
      </c>
      <c r="H38" s="4">
        <v>113</v>
      </c>
      <c r="I38" s="4">
        <v>137</v>
      </c>
      <c r="J38" s="4">
        <v>140</v>
      </c>
      <c r="K38" s="4">
        <v>163</v>
      </c>
      <c r="L38" s="4">
        <v>186</v>
      </c>
      <c r="M38" s="4">
        <v>157</v>
      </c>
      <c r="N38" s="4">
        <v>236</v>
      </c>
      <c r="O38" s="4">
        <v>386</v>
      </c>
      <c r="P38" s="4">
        <v>254</v>
      </c>
    </row>
    <row r="39" spans="1:16">
      <c r="A39" s="46">
        <v>3</v>
      </c>
      <c r="B39" s="2" t="s">
        <v>95</v>
      </c>
      <c r="C39" s="2" t="s">
        <v>212</v>
      </c>
      <c r="D39" s="4">
        <v>4</v>
      </c>
      <c r="E39" s="4">
        <v>21</v>
      </c>
      <c r="F39" s="4">
        <v>0</v>
      </c>
      <c r="G39" s="4">
        <v>8</v>
      </c>
      <c r="H39" s="4">
        <v>12</v>
      </c>
      <c r="I39" s="4">
        <v>9</v>
      </c>
      <c r="J39" s="4">
        <v>2</v>
      </c>
      <c r="K39" s="4">
        <v>4</v>
      </c>
      <c r="L39" s="4">
        <v>9</v>
      </c>
      <c r="M39" s="4">
        <v>9</v>
      </c>
      <c r="N39" s="4">
        <v>25</v>
      </c>
      <c r="O39" s="4">
        <v>18</v>
      </c>
      <c r="P39" s="4">
        <v>4</v>
      </c>
    </row>
    <row r="40" spans="1:16">
      <c r="A40" s="46">
        <v>3</v>
      </c>
      <c r="B40" s="2" t="s">
        <v>95</v>
      </c>
      <c r="C40" s="2" t="s">
        <v>73</v>
      </c>
      <c r="D40" s="4">
        <v>778</v>
      </c>
      <c r="E40" s="4">
        <v>614</v>
      </c>
      <c r="F40" s="4">
        <v>885</v>
      </c>
      <c r="G40" s="4">
        <v>680</v>
      </c>
      <c r="H40" s="4">
        <v>667</v>
      </c>
      <c r="I40" s="4">
        <v>766</v>
      </c>
      <c r="J40" s="4">
        <v>779</v>
      </c>
      <c r="K40" s="4">
        <v>1028</v>
      </c>
      <c r="L40" s="4">
        <v>792</v>
      </c>
      <c r="M40" s="4">
        <v>1072</v>
      </c>
      <c r="N40" s="4">
        <v>910</v>
      </c>
      <c r="O40" s="4">
        <v>1126</v>
      </c>
      <c r="P40" s="4">
        <v>1097</v>
      </c>
    </row>
    <row r="41" spans="1:16">
      <c r="A41" s="46">
        <v>3</v>
      </c>
      <c r="B41" s="2" t="s">
        <v>95</v>
      </c>
      <c r="C41" s="2" t="s">
        <v>213</v>
      </c>
      <c r="D41" s="4">
        <v>102</v>
      </c>
      <c r="E41" s="4">
        <v>363</v>
      </c>
      <c r="F41" s="4">
        <v>63</v>
      </c>
      <c r="G41" s="4">
        <v>78</v>
      </c>
      <c r="H41" s="4">
        <v>25</v>
      </c>
      <c r="I41" s="4">
        <v>379</v>
      </c>
      <c r="J41" s="4">
        <v>279</v>
      </c>
      <c r="K41" s="4">
        <v>184</v>
      </c>
      <c r="L41" s="4">
        <v>137</v>
      </c>
      <c r="M41" s="4">
        <v>193</v>
      </c>
      <c r="N41" s="4">
        <v>363</v>
      </c>
      <c r="O41" s="4">
        <v>176</v>
      </c>
      <c r="P41" s="4">
        <v>65</v>
      </c>
    </row>
    <row r="42" spans="1:16">
      <c r="A42" s="46">
        <v>3</v>
      </c>
      <c r="B42" s="2" t="s">
        <v>95</v>
      </c>
      <c r="C42" s="2" t="s">
        <v>77</v>
      </c>
      <c r="D42" s="4">
        <v>282</v>
      </c>
      <c r="E42" s="4">
        <v>413</v>
      </c>
      <c r="F42" s="4">
        <v>412</v>
      </c>
      <c r="G42" s="4">
        <v>687</v>
      </c>
      <c r="H42" s="4">
        <v>470</v>
      </c>
      <c r="I42" s="4">
        <v>374</v>
      </c>
      <c r="J42" s="4">
        <v>440</v>
      </c>
      <c r="K42" s="4">
        <v>522</v>
      </c>
      <c r="L42" s="4">
        <v>466</v>
      </c>
      <c r="M42" s="4">
        <v>568</v>
      </c>
      <c r="N42" s="4">
        <v>513</v>
      </c>
      <c r="O42" s="4">
        <v>707</v>
      </c>
      <c r="P42" s="4">
        <v>602</v>
      </c>
    </row>
    <row r="43" spans="1:16">
      <c r="A43" s="46">
        <v>3</v>
      </c>
      <c r="B43" s="2" t="s">
        <v>95</v>
      </c>
      <c r="C43" s="2" t="s">
        <v>79</v>
      </c>
      <c r="D43" s="4">
        <v>75</v>
      </c>
      <c r="E43" s="4">
        <v>58</v>
      </c>
      <c r="F43" s="4">
        <v>40</v>
      </c>
      <c r="G43" s="4">
        <v>74</v>
      </c>
      <c r="H43" s="4">
        <v>79</v>
      </c>
      <c r="I43" s="4">
        <v>144</v>
      </c>
      <c r="J43" s="4">
        <v>56</v>
      </c>
      <c r="K43" s="4">
        <v>90</v>
      </c>
      <c r="L43" s="4">
        <v>55</v>
      </c>
      <c r="M43" s="4">
        <v>153</v>
      </c>
      <c r="N43" s="4">
        <v>78</v>
      </c>
      <c r="O43" s="4">
        <v>120</v>
      </c>
      <c r="P43" s="4">
        <v>85</v>
      </c>
    </row>
    <row r="44" spans="1:16">
      <c r="A44" s="46">
        <v>3</v>
      </c>
      <c r="B44" s="2" t="s">
        <v>95</v>
      </c>
      <c r="C44" s="2" t="s">
        <v>54</v>
      </c>
      <c r="D44" s="4">
        <v>60</v>
      </c>
      <c r="E44" s="4">
        <v>68</v>
      </c>
      <c r="F44" s="4">
        <v>86</v>
      </c>
      <c r="G44" s="4">
        <v>59</v>
      </c>
      <c r="H44" s="4">
        <v>35</v>
      </c>
      <c r="I44" s="4">
        <v>73</v>
      </c>
      <c r="J44" s="4">
        <v>89</v>
      </c>
      <c r="K44" s="4">
        <v>29</v>
      </c>
      <c r="L44" s="4">
        <v>53</v>
      </c>
      <c r="M44" s="4">
        <v>75</v>
      </c>
      <c r="N44" s="4">
        <v>98</v>
      </c>
      <c r="O44" s="4">
        <v>72</v>
      </c>
      <c r="P44" s="4">
        <v>133</v>
      </c>
    </row>
    <row r="45" spans="1:16">
      <c r="A45" s="46">
        <v>3</v>
      </c>
      <c r="B45" s="2" t="s">
        <v>95</v>
      </c>
      <c r="C45" s="2" t="s">
        <v>82</v>
      </c>
      <c r="D45" s="4">
        <v>151</v>
      </c>
      <c r="E45" s="4">
        <v>102</v>
      </c>
      <c r="F45" s="4">
        <v>174</v>
      </c>
      <c r="G45" s="4">
        <v>297</v>
      </c>
      <c r="H45" s="4">
        <v>182</v>
      </c>
      <c r="I45" s="4">
        <v>201</v>
      </c>
      <c r="J45" s="4">
        <v>187</v>
      </c>
      <c r="K45" s="4">
        <v>129</v>
      </c>
      <c r="L45" s="4">
        <v>248</v>
      </c>
      <c r="M45" s="4">
        <v>172</v>
      </c>
      <c r="N45" s="4">
        <v>219</v>
      </c>
      <c r="O45" s="4">
        <v>298</v>
      </c>
      <c r="P45" s="4">
        <v>209</v>
      </c>
    </row>
    <row r="46" spans="1:16">
      <c r="A46" s="46">
        <v>3</v>
      </c>
      <c r="B46" s="2" t="s">
        <v>95</v>
      </c>
      <c r="C46" s="2" t="s">
        <v>84</v>
      </c>
      <c r="D46" s="4">
        <v>696</v>
      </c>
      <c r="E46" s="4">
        <v>44</v>
      </c>
      <c r="F46" s="4">
        <v>24</v>
      </c>
      <c r="G46" s="4">
        <v>41</v>
      </c>
      <c r="H46" s="4">
        <v>52</v>
      </c>
      <c r="I46" s="4">
        <v>36</v>
      </c>
      <c r="J46" s="4">
        <v>53</v>
      </c>
      <c r="K46" s="4">
        <v>317</v>
      </c>
      <c r="L46" s="4">
        <v>55</v>
      </c>
      <c r="M46" s="4">
        <v>98</v>
      </c>
      <c r="N46" s="4">
        <v>34</v>
      </c>
      <c r="O46" s="4">
        <v>121</v>
      </c>
      <c r="P46" s="4">
        <v>54</v>
      </c>
    </row>
    <row r="47" spans="1:16">
      <c r="A47" s="46">
        <v>3</v>
      </c>
      <c r="B47" s="2" t="s">
        <v>95</v>
      </c>
      <c r="C47" s="2" t="s">
        <v>86</v>
      </c>
      <c r="D47" s="4">
        <v>766</v>
      </c>
      <c r="E47" s="4">
        <v>979</v>
      </c>
      <c r="F47" s="4">
        <v>630</v>
      </c>
      <c r="G47" s="4">
        <v>827</v>
      </c>
      <c r="H47" s="4">
        <v>918</v>
      </c>
      <c r="I47" s="4">
        <v>801</v>
      </c>
      <c r="J47" s="4">
        <v>982</v>
      </c>
      <c r="K47" s="4">
        <v>691</v>
      </c>
      <c r="L47" s="4">
        <v>906</v>
      </c>
      <c r="M47" s="4">
        <v>847</v>
      </c>
      <c r="N47" s="4">
        <v>1114</v>
      </c>
      <c r="O47" s="4">
        <v>973</v>
      </c>
      <c r="P47" s="4">
        <v>1030</v>
      </c>
    </row>
    <row r="48" spans="1:16">
      <c r="A48" s="46">
        <v>3</v>
      </c>
      <c r="B48" s="2" t="s">
        <v>95</v>
      </c>
      <c r="C48" s="2" t="s">
        <v>214</v>
      </c>
      <c r="D48" s="4">
        <v>55</v>
      </c>
      <c r="E48" s="4">
        <v>35</v>
      </c>
      <c r="F48" s="4">
        <v>41</v>
      </c>
      <c r="G48" s="4">
        <v>72</v>
      </c>
      <c r="H48" s="4">
        <v>73</v>
      </c>
      <c r="I48" s="4">
        <v>72</v>
      </c>
      <c r="J48" s="4">
        <v>86</v>
      </c>
      <c r="K48" s="4">
        <v>157</v>
      </c>
      <c r="L48" s="4">
        <v>54</v>
      </c>
      <c r="M48" s="4">
        <v>109</v>
      </c>
      <c r="N48" s="4">
        <v>162</v>
      </c>
      <c r="O48" s="4">
        <v>105</v>
      </c>
      <c r="P48" s="4">
        <v>141</v>
      </c>
    </row>
    <row r="49" spans="1:16">
      <c r="A49" s="46">
        <v>4</v>
      </c>
      <c r="B49" s="2" t="s">
        <v>97</v>
      </c>
      <c r="C49" s="2" t="s">
        <v>210</v>
      </c>
      <c r="D49" s="4">
        <v>137</v>
      </c>
      <c r="E49" s="4">
        <v>498</v>
      </c>
      <c r="F49" s="4">
        <v>160</v>
      </c>
      <c r="G49" s="4">
        <v>201</v>
      </c>
      <c r="H49" s="4">
        <v>176</v>
      </c>
      <c r="I49" s="4">
        <v>178</v>
      </c>
      <c r="J49" s="4">
        <v>455</v>
      </c>
      <c r="K49" s="4">
        <v>562</v>
      </c>
      <c r="L49" s="4">
        <v>205</v>
      </c>
      <c r="M49" s="4">
        <v>315</v>
      </c>
      <c r="N49" s="4">
        <v>217</v>
      </c>
      <c r="O49" s="4">
        <v>302</v>
      </c>
      <c r="P49" s="4">
        <v>447</v>
      </c>
    </row>
    <row r="50" spans="1:16">
      <c r="A50" s="46">
        <v>4</v>
      </c>
      <c r="B50" s="2" t="s">
        <v>97</v>
      </c>
      <c r="C50" s="2" t="s">
        <v>211</v>
      </c>
      <c r="D50" s="4">
        <v>558</v>
      </c>
      <c r="E50" s="4">
        <v>308</v>
      </c>
      <c r="F50" s="4">
        <v>655</v>
      </c>
      <c r="G50" s="4">
        <v>626</v>
      </c>
      <c r="H50" s="4">
        <v>225</v>
      </c>
      <c r="I50" s="4">
        <v>395</v>
      </c>
      <c r="J50" s="4">
        <v>285</v>
      </c>
      <c r="K50" s="4">
        <v>453</v>
      </c>
      <c r="L50" s="4">
        <v>213</v>
      </c>
      <c r="M50" s="4">
        <v>215</v>
      </c>
      <c r="N50" s="4">
        <v>304</v>
      </c>
      <c r="O50" s="4">
        <v>383</v>
      </c>
      <c r="P50" s="4">
        <v>367</v>
      </c>
    </row>
    <row r="51" spans="1:16">
      <c r="A51" s="46">
        <v>4</v>
      </c>
      <c r="B51" s="2" t="s">
        <v>97</v>
      </c>
      <c r="C51" s="2" t="s">
        <v>65</v>
      </c>
      <c r="D51" s="4">
        <v>697</v>
      </c>
      <c r="E51" s="4">
        <v>469</v>
      </c>
      <c r="F51" s="4">
        <v>480</v>
      </c>
      <c r="G51" s="4">
        <v>1132</v>
      </c>
      <c r="H51" s="4">
        <v>724</v>
      </c>
      <c r="I51" s="4">
        <v>755</v>
      </c>
      <c r="J51" s="4">
        <v>1272</v>
      </c>
      <c r="K51" s="4">
        <v>495</v>
      </c>
      <c r="L51" s="4">
        <v>629</v>
      </c>
      <c r="M51" s="4">
        <v>682</v>
      </c>
      <c r="N51" s="4">
        <v>801</v>
      </c>
      <c r="O51" s="4">
        <v>840</v>
      </c>
      <c r="P51" s="4">
        <v>533</v>
      </c>
    </row>
    <row r="52" spans="1:16">
      <c r="A52" s="46">
        <v>4</v>
      </c>
      <c r="B52" s="2" t="s">
        <v>97</v>
      </c>
      <c r="C52" s="2" t="s">
        <v>67</v>
      </c>
      <c r="D52" s="4">
        <v>3769</v>
      </c>
      <c r="E52" s="4">
        <v>3028</v>
      </c>
      <c r="F52" s="4">
        <v>2391</v>
      </c>
      <c r="G52" s="4">
        <v>2878</v>
      </c>
      <c r="H52" s="4">
        <v>4142</v>
      </c>
      <c r="I52" s="4">
        <v>1832</v>
      </c>
      <c r="J52" s="4">
        <v>3799</v>
      </c>
      <c r="K52" s="4">
        <v>2902</v>
      </c>
      <c r="L52" s="4">
        <v>2939</v>
      </c>
      <c r="M52" s="4">
        <v>2989</v>
      </c>
      <c r="N52" s="4">
        <v>2632</v>
      </c>
      <c r="O52" s="4">
        <v>3489</v>
      </c>
      <c r="P52" s="4">
        <v>2998</v>
      </c>
    </row>
    <row r="53" spans="1:16">
      <c r="A53" s="46">
        <v>4</v>
      </c>
      <c r="B53" s="2" t="s">
        <v>97</v>
      </c>
      <c r="C53" s="2" t="s">
        <v>69</v>
      </c>
      <c r="D53" s="4">
        <v>85</v>
      </c>
      <c r="E53" s="4">
        <v>362</v>
      </c>
      <c r="F53" s="4">
        <v>120</v>
      </c>
      <c r="G53" s="4">
        <v>91</v>
      </c>
      <c r="H53" s="4">
        <v>51</v>
      </c>
      <c r="I53" s="4">
        <v>78</v>
      </c>
      <c r="J53" s="4">
        <v>67</v>
      </c>
      <c r="K53" s="4">
        <v>135</v>
      </c>
      <c r="L53" s="4">
        <v>60</v>
      </c>
      <c r="M53" s="4">
        <v>148</v>
      </c>
      <c r="N53" s="4">
        <v>62</v>
      </c>
      <c r="O53" s="4">
        <v>136</v>
      </c>
      <c r="P53" s="4">
        <v>86</v>
      </c>
    </row>
    <row r="54" spans="1:16">
      <c r="A54" s="46">
        <v>4</v>
      </c>
      <c r="B54" s="2" t="s">
        <v>97</v>
      </c>
      <c r="C54" s="2" t="s">
        <v>212</v>
      </c>
      <c r="D54" s="4">
        <v>2</v>
      </c>
      <c r="E54" s="4">
        <v>7</v>
      </c>
      <c r="F54" s="4">
        <v>0</v>
      </c>
      <c r="G54" s="4">
        <v>0</v>
      </c>
      <c r="H54" s="4">
        <v>3</v>
      </c>
      <c r="I54" s="4">
        <v>0</v>
      </c>
      <c r="J54" s="3"/>
      <c r="K54" s="4">
        <v>15</v>
      </c>
      <c r="L54" s="4">
        <v>3</v>
      </c>
      <c r="M54" s="4">
        <v>5</v>
      </c>
      <c r="N54" s="4">
        <v>4</v>
      </c>
      <c r="O54" s="4">
        <v>3</v>
      </c>
      <c r="P54" s="4">
        <v>1</v>
      </c>
    </row>
    <row r="55" spans="1:16">
      <c r="A55" s="46">
        <v>4</v>
      </c>
      <c r="B55" s="2" t="s">
        <v>97</v>
      </c>
      <c r="C55" s="2" t="s">
        <v>73</v>
      </c>
      <c r="D55" s="4">
        <v>1626</v>
      </c>
      <c r="E55" s="4">
        <v>1629</v>
      </c>
      <c r="F55" s="4">
        <v>1571</v>
      </c>
      <c r="G55" s="4">
        <v>2298</v>
      </c>
      <c r="H55" s="4">
        <v>1232</v>
      </c>
      <c r="I55" s="4">
        <v>1056</v>
      </c>
      <c r="J55" s="4">
        <v>1505</v>
      </c>
      <c r="K55" s="4">
        <v>1801</v>
      </c>
      <c r="L55" s="4">
        <v>1370</v>
      </c>
      <c r="M55" s="4">
        <v>1230</v>
      </c>
      <c r="N55" s="4">
        <v>1364</v>
      </c>
      <c r="O55" s="4">
        <v>1543</v>
      </c>
      <c r="P55" s="4">
        <v>1406</v>
      </c>
    </row>
    <row r="56" spans="1:16">
      <c r="A56" s="46">
        <v>4</v>
      </c>
      <c r="B56" s="2" t="s">
        <v>97</v>
      </c>
      <c r="C56" s="2" t="s">
        <v>213</v>
      </c>
      <c r="D56" s="4">
        <v>363</v>
      </c>
      <c r="E56" s="4">
        <v>256</v>
      </c>
      <c r="F56" s="4">
        <v>190</v>
      </c>
      <c r="G56" s="4">
        <v>100</v>
      </c>
      <c r="H56" s="4">
        <v>60</v>
      </c>
      <c r="I56" s="4">
        <v>195</v>
      </c>
      <c r="J56" s="4">
        <v>83</v>
      </c>
      <c r="K56" s="4">
        <v>86</v>
      </c>
      <c r="L56" s="4">
        <v>77</v>
      </c>
      <c r="M56" s="4">
        <v>83</v>
      </c>
      <c r="N56" s="4">
        <v>75</v>
      </c>
      <c r="O56" s="4">
        <v>106</v>
      </c>
      <c r="P56" s="4">
        <v>102</v>
      </c>
    </row>
    <row r="57" spans="1:16">
      <c r="A57" s="46">
        <v>4</v>
      </c>
      <c r="B57" s="2" t="s">
        <v>97</v>
      </c>
      <c r="C57" s="2" t="s">
        <v>77</v>
      </c>
      <c r="D57" s="4">
        <v>319</v>
      </c>
      <c r="E57" s="4">
        <v>824</v>
      </c>
      <c r="F57" s="4">
        <v>853</v>
      </c>
      <c r="G57" s="4">
        <v>1411</v>
      </c>
      <c r="H57" s="4">
        <v>730</v>
      </c>
      <c r="I57" s="4">
        <v>579</v>
      </c>
      <c r="J57" s="4">
        <v>947</v>
      </c>
      <c r="K57" s="4">
        <v>728</v>
      </c>
      <c r="L57" s="4">
        <v>714</v>
      </c>
      <c r="M57" s="4">
        <v>826</v>
      </c>
      <c r="N57" s="4">
        <v>1076</v>
      </c>
      <c r="O57" s="4">
        <v>781</v>
      </c>
      <c r="P57" s="4">
        <v>767</v>
      </c>
    </row>
    <row r="58" spans="1:16">
      <c r="A58" s="46">
        <v>4</v>
      </c>
      <c r="B58" s="2" t="s">
        <v>97</v>
      </c>
      <c r="C58" s="2" t="s">
        <v>79</v>
      </c>
      <c r="D58" s="4">
        <v>78</v>
      </c>
      <c r="E58" s="4">
        <v>61</v>
      </c>
      <c r="F58" s="4">
        <v>448</v>
      </c>
      <c r="G58" s="4">
        <v>153</v>
      </c>
      <c r="H58" s="4">
        <v>150</v>
      </c>
      <c r="I58" s="4">
        <v>105</v>
      </c>
      <c r="J58" s="4">
        <v>133</v>
      </c>
      <c r="K58" s="4">
        <v>106</v>
      </c>
      <c r="L58" s="4">
        <v>84</v>
      </c>
      <c r="M58" s="4">
        <v>89</v>
      </c>
      <c r="N58" s="4">
        <v>139</v>
      </c>
      <c r="O58" s="4">
        <v>171</v>
      </c>
      <c r="P58" s="4">
        <v>61</v>
      </c>
    </row>
    <row r="59" spans="1:16">
      <c r="A59" s="46">
        <v>4</v>
      </c>
      <c r="B59" s="2" t="s">
        <v>97</v>
      </c>
      <c r="C59" s="2" t="s">
        <v>54</v>
      </c>
      <c r="D59" s="4">
        <v>-44</v>
      </c>
      <c r="E59" s="4">
        <v>87</v>
      </c>
      <c r="F59" s="4">
        <v>25</v>
      </c>
      <c r="G59" s="4">
        <v>56</v>
      </c>
      <c r="H59" s="4">
        <v>37</v>
      </c>
      <c r="I59" s="4">
        <v>860</v>
      </c>
      <c r="J59" s="4">
        <v>202</v>
      </c>
      <c r="K59" s="4">
        <v>22.999999999999996</v>
      </c>
      <c r="L59" s="4">
        <v>47</v>
      </c>
      <c r="M59" s="4">
        <v>57</v>
      </c>
      <c r="N59" s="4">
        <v>444</v>
      </c>
      <c r="O59" s="4">
        <v>41</v>
      </c>
      <c r="P59" s="4">
        <v>73</v>
      </c>
    </row>
    <row r="60" spans="1:16">
      <c r="A60" s="46">
        <v>4</v>
      </c>
      <c r="B60" s="2" t="s">
        <v>97</v>
      </c>
      <c r="C60" s="2" t="s">
        <v>82</v>
      </c>
      <c r="D60" s="4">
        <v>314</v>
      </c>
      <c r="E60" s="4">
        <v>184</v>
      </c>
      <c r="F60" s="4">
        <v>213</v>
      </c>
      <c r="G60" s="4">
        <v>291</v>
      </c>
      <c r="H60" s="4">
        <v>659</v>
      </c>
      <c r="I60" s="4">
        <v>834</v>
      </c>
      <c r="J60" s="4">
        <v>319</v>
      </c>
      <c r="K60" s="4">
        <v>212</v>
      </c>
      <c r="L60" s="4">
        <v>80</v>
      </c>
      <c r="M60" s="4">
        <v>207</v>
      </c>
      <c r="N60" s="4">
        <v>254</v>
      </c>
      <c r="O60" s="4">
        <v>345</v>
      </c>
      <c r="P60" s="4">
        <v>131</v>
      </c>
    </row>
    <row r="61" spans="1:16">
      <c r="A61" s="46">
        <v>4</v>
      </c>
      <c r="B61" s="2" t="s">
        <v>97</v>
      </c>
      <c r="C61" s="2" t="s">
        <v>84</v>
      </c>
      <c r="D61" s="4">
        <v>693</v>
      </c>
      <c r="E61" s="4">
        <v>-71</v>
      </c>
      <c r="F61" s="4">
        <v>150</v>
      </c>
      <c r="G61" s="4">
        <v>463</v>
      </c>
      <c r="H61" s="4">
        <v>48</v>
      </c>
      <c r="I61" s="4">
        <v>183</v>
      </c>
      <c r="J61" s="4">
        <v>170</v>
      </c>
      <c r="K61" s="4">
        <v>89</v>
      </c>
      <c r="L61" s="4">
        <v>93</v>
      </c>
      <c r="M61" s="4">
        <v>185</v>
      </c>
      <c r="N61" s="4">
        <v>146</v>
      </c>
      <c r="O61" s="4">
        <v>157</v>
      </c>
      <c r="P61" s="4">
        <v>65</v>
      </c>
    </row>
    <row r="62" spans="1:16">
      <c r="A62" s="46">
        <v>4</v>
      </c>
      <c r="B62" s="2" t="s">
        <v>97</v>
      </c>
      <c r="C62" s="2" t="s">
        <v>86</v>
      </c>
      <c r="D62" s="4">
        <v>2558</v>
      </c>
      <c r="E62" s="4">
        <v>3153</v>
      </c>
      <c r="F62" s="4">
        <v>1006</v>
      </c>
      <c r="G62" s="4">
        <v>1878</v>
      </c>
      <c r="H62" s="4">
        <v>2146</v>
      </c>
      <c r="I62" s="4">
        <v>2541</v>
      </c>
      <c r="J62" s="4">
        <v>1960</v>
      </c>
      <c r="K62" s="4">
        <v>2171</v>
      </c>
      <c r="L62" s="4">
        <v>1868</v>
      </c>
      <c r="M62" s="4">
        <v>1237</v>
      </c>
      <c r="N62" s="4">
        <v>1269</v>
      </c>
      <c r="O62" s="4">
        <v>1833</v>
      </c>
      <c r="P62" s="4">
        <v>1298</v>
      </c>
    </row>
    <row r="63" spans="1:16">
      <c r="A63" s="46">
        <v>4</v>
      </c>
      <c r="B63" s="2" t="s">
        <v>97</v>
      </c>
      <c r="C63" s="2" t="s">
        <v>214</v>
      </c>
      <c r="D63" s="4">
        <v>35</v>
      </c>
      <c r="E63" s="4">
        <v>132</v>
      </c>
      <c r="F63" s="4">
        <v>96</v>
      </c>
      <c r="G63" s="4">
        <v>103</v>
      </c>
      <c r="H63" s="4">
        <v>78</v>
      </c>
      <c r="I63" s="4">
        <v>111</v>
      </c>
      <c r="J63" s="4">
        <v>150</v>
      </c>
      <c r="K63" s="4">
        <v>168</v>
      </c>
      <c r="L63" s="4">
        <v>78</v>
      </c>
      <c r="M63" s="4">
        <v>168</v>
      </c>
      <c r="N63" s="4">
        <v>650</v>
      </c>
      <c r="O63" s="4">
        <v>208</v>
      </c>
      <c r="P63" s="4">
        <v>98</v>
      </c>
    </row>
    <row r="64" spans="1:16">
      <c r="A64" s="46">
        <v>5</v>
      </c>
      <c r="B64" s="2" t="s">
        <v>99</v>
      </c>
      <c r="C64" s="2" t="s">
        <v>210</v>
      </c>
      <c r="D64" s="4">
        <v>9823</v>
      </c>
      <c r="E64" s="4">
        <v>9553</v>
      </c>
      <c r="F64" s="4">
        <v>4765</v>
      </c>
      <c r="G64" s="4">
        <v>7268</v>
      </c>
      <c r="H64" s="4">
        <v>2765</v>
      </c>
      <c r="I64" s="4">
        <v>2208</v>
      </c>
      <c r="J64" s="4">
        <v>3126</v>
      </c>
      <c r="K64" s="4">
        <v>6697</v>
      </c>
      <c r="L64" s="4">
        <v>3773</v>
      </c>
      <c r="M64" s="4">
        <v>3345</v>
      </c>
      <c r="N64" s="4">
        <v>5196</v>
      </c>
      <c r="O64" s="4">
        <v>2688</v>
      </c>
      <c r="P64" s="4">
        <v>6920</v>
      </c>
    </row>
    <row r="65" spans="1:16">
      <c r="A65" s="46">
        <v>5</v>
      </c>
      <c r="B65" s="2" t="s">
        <v>99</v>
      </c>
      <c r="C65" s="2" t="s">
        <v>211</v>
      </c>
      <c r="D65" s="4">
        <v>488</v>
      </c>
      <c r="E65" s="4">
        <v>1589</v>
      </c>
      <c r="F65" s="4">
        <v>568</v>
      </c>
      <c r="G65" s="4">
        <v>891</v>
      </c>
      <c r="H65" s="4">
        <v>1331</v>
      </c>
      <c r="I65" s="4">
        <v>1266</v>
      </c>
      <c r="J65" s="4">
        <v>438</v>
      </c>
      <c r="K65" s="4">
        <v>635</v>
      </c>
      <c r="L65" s="4">
        <v>138</v>
      </c>
      <c r="M65" s="4">
        <v>692</v>
      </c>
      <c r="N65" s="4">
        <v>358</v>
      </c>
      <c r="O65" s="4">
        <v>296</v>
      </c>
      <c r="P65" s="4">
        <v>259</v>
      </c>
    </row>
    <row r="66" spans="1:16">
      <c r="A66" s="46">
        <v>5</v>
      </c>
      <c r="B66" s="2" t="s">
        <v>99</v>
      </c>
      <c r="C66" s="2" t="s">
        <v>65</v>
      </c>
      <c r="D66" s="4">
        <v>6603</v>
      </c>
      <c r="E66" s="4">
        <v>9996</v>
      </c>
      <c r="F66" s="4">
        <v>5400</v>
      </c>
      <c r="G66" s="4">
        <v>4804</v>
      </c>
      <c r="H66" s="4">
        <v>2098</v>
      </c>
      <c r="I66" s="4">
        <v>2874</v>
      </c>
      <c r="J66" s="4">
        <v>5437</v>
      </c>
      <c r="K66" s="4">
        <v>2841</v>
      </c>
      <c r="L66" s="4">
        <v>4326</v>
      </c>
      <c r="M66" s="4">
        <v>6447</v>
      </c>
      <c r="N66" s="4">
        <v>4698</v>
      </c>
      <c r="O66" s="4">
        <v>3922</v>
      </c>
      <c r="P66" s="4">
        <v>1452</v>
      </c>
    </row>
    <row r="67" spans="1:16">
      <c r="A67" s="46">
        <v>5</v>
      </c>
      <c r="B67" s="2" t="s">
        <v>99</v>
      </c>
      <c r="C67" s="2" t="s">
        <v>67</v>
      </c>
      <c r="D67" s="4">
        <v>8999</v>
      </c>
      <c r="E67" s="4">
        <v>11676</v>
      </c>
      <c r="F67" s="4">
        <v>6852</v>
      </c>
      <c r="G67" s="4">
        <v>8704</v>
      </c>
      <c r="H67" s="4">
        <v>8233</v>
      </c>
      <c r="I67" s="4">
        <v>9352</v>
      </c>
      <c r="J67" s="4">
        <v>9932</v>
      </c>
      <c r="K67" s="4">
        <v>10280</v>
      </c>
      <c r="L67" s="4">
        <v>15328</v>
      </c>
      <c r="M67" s="4">
        <v>13958</v>
      </c>
      <c r="N67" s="4">
        <v>5252</v>
      </c>
      <c r="O67" s="4">
        <v>6895</v>
      </c>
      <c r="P67" s="4">
        <v>8271</v>
      </c>
    </row>
    <row r="68" spans="1:16">
      <c r="A68" s="46">
        <v>5</v>
      </c>
      <c r="B68" s="2" t="s">
        <v>99</v>
      </c>
      <c r="C68" s="2" t="s">
        <v>69</v>
      </c>
      <c r="D68" s="4">
        <v>653</v>
      </c>
      <c r="E68" s="4">
        <v>1463</v>
      </c>
      <c r="F68" s="4">
        <v>1755</v>
      </c>
      <c r="G68" s="4">
        <v>2111</v>
      </c>
      <c r="H68" s="4">
        <v>2138</v>
      </c>
      <c r="I68" s="4">
        <v>2538</v>
      </c>
      <c r="J68" s="4">
        <v>1438</v>
      </c>
      <c r="K68" s="4">
        <v>2819</v>
      </c>
      <c r="L68" s="4">
        <v>1948</v>
      </c>
      <c r="M68" s="4">
        <v>1789</v>
      </c>
      <c r="N68" s="4">
        <v>2474</v>
      </c>
      <c r="O68" s="4">
        <v>2760</v>
      </c>
      <c r="P68" s="4">
        <v>1236</v>
      </c>
    </row>
    <row r="69" spans="1:16">
      <c r="A69" s="46">
        <v>5</v>
      </c>
      <c r="B69" s="2" t="s">
        <v>99</v>
      </c>
      <c r="C69" s="2" t="s">
        <v>212</v>
      </c>
      <c r="D69" s="4">
        <v>331</v>
      </c>
      <c r="E69" s="4">
        <v>387</v>
      </c>
      <c r="F69" s="4">
        <v>216</v>
      </c>
      <c r="G69" s="4">
        <v>186</v>
      </c>
      <c r="H69" s="4">
        <v>97</v>
      </c>
      <c r="I69" s="4">
        <v>281</v>
      </c>
      <c r="J69" s="4">
        <v>208</v>
      </c>
      <c r="K69" s="4">
        <v>418</v>
      </c>
      <c r="L69" s="4">
        <v>96</v>
      </c>
      <c r="M69" s="4">
        <v>107</v>
      </c>
      <c r="N69" s="4">
        <v>112</v>
      </c>
      <c r="O69" s="4">
        <v>21</v>
      </c>
      <c r="P69" s="4">
        <v>59</v>
      </c>
    </row>
    <row r="70" spans="1:16">
      <c r="A70" s="46">
        <v>5</v>
      </c>
      <c r="B70" s="2" t="s">
        <v>99</v>
      </c>
      <c r="C70" s="2" t="s">
        <v>73</v>
      </c>
      <c r="D70" s="4">
        <v>5770</v>
      </c>
      <c r="E70" s="4">
        <v>8533</v>
      </c>
      <c r="F70" s="4">
        <v>10558</v>
      </c>
      <c r="G70" s="4">
        <v>8157</v>
      </c>
      <c r="H70" s="4">
        <v>6180</v>
      </c>
      <c r="I70" s="4">
        <v>6561</v>
      </c>
      <c r="J70" s="4">
        <v>5106</v>
      </c>
      <c r="K70" s="4">
        <v>7332</v>
      </c>
      <c r="L70" s="4">
        <v>4089</v>
      </c>
      <c r="M70" s="4">
        <v>8458</v>
      </c>
      <c r="N70" s="4">
        <v>5642</v>
      </c>
      <c r="O70" s="4">
        <v>4914</v>
      </c>
      <c r="P70" s="4">
        <v>6463</v>
      </c>
    </row>
    <row r="71" spans="1:16">
      <c r="A71" s="46">
        <v>5</v>
      </c>
      <c r="B71" s="2" t="s">
        <v>99</v>
      </c>
      <c r="C71" s="2" t="s">
        <v>213</v>
      </c>
      <c r="D71" s="4">
        <v>277</v>
      </c>
      <c r="E71" s="4">
        <v>725</v>
      </c>
      <c r="F71" s="4">
        <v>158</v>
      </c>
      <c r="G71" s="4">
        <v>110</v>
      </c>
      <c r="H71" s="4">
        <v>264</v>
      </c>
      <c r="I71" s="4">
        <v>856</v>
      </c>
      <c r="J71" s="4">
        <v>421</v>
      </c>
      <c r="K71" s="4">
        <v>640</v>
      </c>
      <c r="L71" s="4">
        <v>892</v>
      </c>
      <c r="M71" s="4">
        <v>382</v>
      </c>
      <c r="N71" s="4">
        <v>322</v>
      </c>
      <c r="O71" s="4">
        <v>115</v>
      </c>
      <c r="P71" s="4">
        <v>125</v>
      </c>
    </row>
    <row r="72" spans="1:16">
      <c r="A72" s="46">
        <v>5</v>
      </c>
      <c r="B72" s="2" t="s">
        <v>99</v>
      </c>
      <c r="C72" s="2" t="s">
        <v>77</v>
      </c>
      <c r="D72" s="4">
        <v>3783.0000000000005</v>
      </c>
      <c r="E72" s="4">
        <v>4995</v>
      </c>
      <c r="F72" s="4">
        <v>5809</v>
      </c>
      <c r="G72" s="4">
        <v>2080</v>
      </c>
      <c r="H72" s="4">
        <v>5861</v>
      </c>
      <c r="I72" s="4">
        <v>3845</v>
      </c>
      <c r="J72" s="4">
        <v>3962</v>
      </c>
      <c r="K72" s="4">
        <v>6112</v>
      </c>
      <c r="L72" s="4">
        <v>3691</v>
      </c>
      <c r="M72" s="4">
        <v>2762</v>
      </c>
      <c r="N72" s="4">
        <v>4787</v>
      </c>
      <c r="O72" s="4">
        <v>2067</v>
      </c>
      <c r="P72" s="4">
        <v>3226</v>
      </c>
    </row>
    <row r="73" spans="1:16">
      <c r="A73" s="46">
        <v>5</v>
      </c>
      <c r="B73" s="2" t="s">
        <v>99</v>
      </c>
      <c r="C73" s="2" t="s">
        <v>79</v>
      </c>
      <c r="D73" s="4">
        <v>693</v>
      </c>
      <c r="E73" s="4">
        <v>995</v>
      </c>
      <c r="F73" s="4">
        <v>399</v>
      </c>
      <c r="G73" s="4">
        <v>843</v>
      </c>
      <c r="H73" s="4">
        <v>1588</v>
      </c>
      <c r="I73" s="4">
        <v>4999</v>
      </c>
      <c r="J73" s="4">
        <v>1352</v>
      </c>
      <c r="K73" s="4">
        <v>1025</v>
      </c>
      <c r="L73" s="4">
        <v>657</v>
      </c>
      <c r="M73" s="4">
        <v>1454</v>
      </c>
      <c r="N73" s="4">
        <v>209</v>
      </c>
      <c r="O73" s="4">
        <v>746</v>
      </c>
      <c r="P73" s="4">
        <v>1206</v>
      </c>
    </row>
    <row r="74" spans="1:16">
      <c r="A74" s="46">
        <v>5</v>
      </c>
      <c r="B74" s="2" t="s">
        <v>99</v>
      </c>
      <c r="C74" s="2" t="s">
        <v>54</v>
      </c>
      <c r="D74" s="4">
        <v>1578</v>
      </c>
      <c r="E74" s="4">
        <v>2704</v>
      </c>
      <c r="F74" s="4">
        <v>795</v>
      </c>
      <c r="G74" s="4">
        <v>883</v>
      </c>
      <c r="H74" s="4">
        <v>5234</v>
      </c>
      <c r="I74" s="4">
        <v>654</v>
      </c>
      <c r="J74" s="4">
        <v>1387</v>
      </c>
      <c r="K74" s="4">
        <v>1285</v>
      </c>
      <c r="L74" s="4">
        <v>1279</v>
      </c>
      <c r="M74" s="4">
        <v>1943</v>
      </c>
      <c r="N74" s="4">
        <v>861</v>
      </c>
      <c r="O74" s="4">
        <v>947</v>
      </c>
      <c r="P74" s="4">
        <v>393</v>
      </c>
    </row>
    <row r="75" spans="1:16">
      <c r="A75" s="46">
        <v>5</v>
      </c>
      <c r="B75" s="2" t="s">
        <v>99</v>
      </c>
      <c r="C75" s="2" t="s">
        <v>82</v>
      </c>
      <c r="D75" s="4">
        <v>7669</v>
      </c>
      <c r="E75" s="4">
        <v>2033</v>
      </c>
      <c r="F75" s="4">
        <v>3402</v>
      </c>
      <c r="G75" s="4">
        <v>1726</v>
      </c>
      <c r="H75" s="4">
        <v>864</v>
      </c>
      <c r="I75" s="4">
        <v>1600</v>
      </c>
      <c r="J75" s="4">
        <v>2456</v>
      </c>
      <c r="K75" s="4">
        <v>3473</v>
      </c>
      <c r="L75" s="4">
        <v>2076</v>
      </c>
      <c r="M75" s="4">
        <v>2282</v>
      </c>
      <c r="N75" s="4">
        <v>3952</v>
      </c>
      <c r="O75" s="4">
        <v>3865</v>
      </c>
      <c r="P75" s="4">
        <v>120</v>
      </c>
    </row>
    <row r="76" spans="1:16">
      <c r="A76" s="46">
        <v>5</v>
      </c>
      <c r="B76" s="2" t="s">
        <v>99</v>
      </c>
      <c r="C76" s="2" t="s">
        <v>84</v>
      </c>
      <c r="D76" s="4">
        <v>357</v>
      </c>
      <c r="E76" s="4">
        <v>393</v>
      </c>
      <c r="F76" s="4">
        <v>1007</v>
      </c>
      <c r="G76" s="4">
        <v>161</v>
      </c>
      <c r="H76" s="4">
        <v>318</v>
      </c>
      <c r="I76" s="4">
        <v>3562</v>
      </c>
      <c r="J76" s="4">
        <v>359</v>
      </c>
      <c r="K76" s="4">
        <v>816</v>
      </c>
      <c r="L76" s="4">
        <v>460</v>
      </c>
      <c r="M76" s="4">
        <v>208</v>
      </c>
      <c r="N76" s="4">
        <v>364</v>
      </c>
      <c r="O76" s="4">
        <v>835</v>
      </c>
      <c r="P76" s="4">
        <v>405</v>
      </c>
    </row>
    <row r="77" spans="1:16">
      <c r="A77" s="46">
        <v>5</v>
      </c>
      <c r="B77" s="2" t="s">
        <v>99</v>
      </c>
      <c r="C77" s="2" t="s">
        <v>86</v>
      </c>
      <c r="D77" s="4">
        <v>19840</v>
      </c>
      <c r="E77" s="4">
        <v>28558</v>
      </c>
      <c r="F77" s="4">
        <v>25481</v>
      </c>
      <c r="G77" s="4">
        <v>16007</v>
      </c>
      <c r="H77" s="4">
        <v>15538</v>
      </c>
      <c r="I77" s="4">
        <v>12075</v>
      </c>
      <c r="J77" s="4">
        <v>14990</v>
      </c>
      <c r="K77" s="4">
        <v>14357</v>
      </c>
      <c r="L77" s="4">
        <v>13506</v>
      </c>
      <c r="M77" s="4">
        <v>15496</v>
      </c>
      <c r="N77" s="4">
        <v>18941</v>
      </c>
      <c r="O77" s="4">
        <v>11034</v>
      </c>
      <c r="P77" s="4">
        <v>12545</v>
      </c>
    </row>
    <row r="78" spans="1:16">
      <c r="A78" s="46">
        <v>5</v>
      </c>
      <c r="B78" s="2" t="s">
        <v>99</v>
      </c>
      <c r="C78" s="2" t="s">
        <v>214</v>
      </c>
      <c r="D78" s="4">
        <v>765</v>
      </c>
      <c r="E78" s="4">
        <v>749</v>
      </c>
      <c r="F78" s="4">
        <v>505</v>
      </c>
      <c r="G78" s="4">
        <v>1307</v>
      </c>
      <c r="H78" s="4">
        <v>1090</v>
      </c>
      <c r="I78" s="4">
        <v>437</v>
      </c>
      <c r="J78" s="4">
        <v>1169</v>
      </c>
      <c r="K78" s="4">
        <v>830</v>
      </c>
      <c r="L78" s="4">
        <v>986</v>
      </c>
      <c r="M78" s="4">
        <v>958</v>
      </c>
      <c r="N78" s="4">
        <v>542</v>
      </c>
      <c r="O78" s="4">
        <v>419</v>
      </c>
      <c r="P78" s="4">
        <v>508</v>
      </c>
    </row>
    <row r="79" spans="1:16">
      <c r="A79" s="46">
        <v>7</v>
      </c>
      <c r="B79" s="2" t="s">
        <v>103</v>
      </c>
      <c r="C79" s="2" t="s">
        <v>210</v>
      </c>
      <c r="D79" s="4">
        <v>7</v>
      </c>
      <c r="E79" s="4">
        <v>19</v>
      </c>
      <c r="F79" s="4">
        <v>12</v>
      </c>
      <c r="G79" s="4">
        <v>2</v>
      </c>
      <c r="H79" s="4">
        <v>10</v>
      </c>
      <c r="I79" s="4">
        <v>47</v>
      </c>
      <c r="J79" s="4">
        <v>33</v>
      </c>
      <c r="K79" s="4">
        <v>25</v>
      </c>
      <c r="L79" s="4">
        <v>9</v>
      </c>
      <c r="M79" s="4">
        <v>10</v>
      </c>
      <c r="N79" s="4">
        <v>14</v>
      </c>
      <c r="O79" s="4">
        <v>12</v>
      </c>
      <c r="P79" s="4">
        <v>13</v>
      </c>
    </row>
    <row r="80" spans="1:16">
      <c r="A80" s="46">
        <v>7</v>
      </c>
      <c r="B80" s="2" t="s">
        <v>103</v>
      </c>
      <c r="C80" s="2" t="s">
        <v>211</v>
      </c>
      <c r="D80" s="4">
        <v>16</v>
      </c>
      <c r="E80" s="4">
        <v>25</v>
      </c>
      <c r="F80" s="4">
        <v>34</v>
      </c>
      <c r="G80" s="4">
        <v>47</v>
      </c>
      <c r="H80" s="4">
        <v>6</v>
      </c>
      <c r="I80" s="4">
        <v>13</v>
      </c>
      <c r="J80" s="4">
        <v>32</v>
      </c>
      <c r="K80" s="4">
        <v>43</v>
      </c>
      <c r="L80" s="4">
        <v>50</v>
      </c>
      <c r="M80" s="4">
        <v>15</v>
      </c>
      <c r="N80" s="4">
        <v>24</v>
      </c>
      <c r="O80" s="4">
        <v>20</v>
      </c>
      <c r="P80" s="4">
        <v>48</v>
      </c>
    </row>
    <row r="81" spans="1:16">
      <c r="A81" s="46">
        <v>7</v>
      </c>
      <c r="B81" s="2" t="s">
        <v>103</v>
      </c>
      <c r="C81" s="2" t="s">
        <v>65</v>
      </c>
      <c r="D81" s="4">
        <v>46</v>
      </c>
      <c r="E81" s="4">
        <v>166</v>
      </c>
      <c r="F81" s="4">
        <v>37</v>
      </c>
      <c r="G81" s="4">
        <v>62</v>
      </c>
      <c r="H81" s="4">
        <v>27</v>
      </c>
      <c r="I81" s="4">
        <v>55</v>
      </c>
      <c r="J81" s="4">
        <v>32</v>
      </c>
      <c r="K81" s="4">
        <v>78</v>
      </c>
      <c r="L81" s="4">
        <v>43</v>
      </c>
      <c r="M81" s="4">
        <v>69</v>
      </c>
      <c r="N81" s="4">
        <v>24</v>
      </c>
      <c r="O81" s="4">
        <v>92</v>
      </c>
      <c r="P81" s="4">
        <v>30</v>
      </c>
    </row>
    <row r="82" spans="1:16">
      <c r="A82" s="46">
        <v>7</v>
      </c>
      <c r="B82" s="2" t="s">
        <v>103</v>
      </c>
      <c r="C82" s="2" t="s">
        <v>67</v>
      </c>
      <c r="D82" s="4">
        <v>1853</v>
      </c>
      <c r="E82" s="4">
        <v>756</v>
      </c>
      <c r="F82" s="4">
        <v>852</v>
      </c>
      <c r="G82" s="4">
        <v>1627</v>
      </c>
      <c r="H82" s="4">
        <v>2913</v>
      </c>
      <c r="I82" s="4">
        <v>679</v>
      </c>
      <c r="J82" s="4">
        <v>844</v>
      </c>
      <c r="K82" s="4">
        <v>1782</v>
      </c>
      <c r="L82" s="4">
        <v>1810</v>
      </c>
      <c r="M82" s="4">
        <v>1119</v>
      </c>
      <c r="N82" s="4">
        <v>1147</v>
      </c>
      <c r="O82" s="4">
        <v>1502</v>
      </c>
      <c r="P82" s="4">
        <v>1877</v>
      </c>
    </row>
    <row r="83" spans="1:16">
      <c r="A83" s="46">
        <v>7</v>
      </c>
      <c r="B83" s="2" t="s">
        <v>103</v>
      </c>
      <c r="C83" s="2" t="s">
        <v>69</v>
      </c>
      <c r="D83" s="4">
        <v>12</v>
      </c>
      <c r="E83" s="4">
        <v>11</v>
      </c>
      <c r="F83" s="4">
        <v>8</v>
      </c>
      <c r="G83" s="4">
        <v>1</v>
      </c>
      <c r="H83" s="4">
        <v>4</v>
      </c>
      <c r="I83" s="4">
        <v>2</v>
      </c>
      <c r="J83" s="4">
        <v>9</v>
      </c>
      <c r="K83" s="4">
        <v>8</v>
      </c>
      <c r="L83" s="4">
        <v>3</v>
      </c>
      <c r="M83" s="4">
        <v>1</v>
      </c>
      <c r="N83" s="4">
        <v>2</v>
      </c>
      <c r="O83" s="4">
        <v>10</v>
      </c>
      <c r="P83" s="4">
        <v>6</v>
      </c>
    </row>
    <row r="84" spans="1:16">
      <c r="A84" s="46">
        <v>7</v>
      </c>
      <c r="B84" s="2" t="s">
        <v>103</v>
      </c>
      <c r="C84" s="2" t="s">
        <v>212</v>
      </c>
      <c r="D84" s="4">
        <v>3</v>
      </c>
      <c r="E84" s="4">
        <v>0</v>
      </c>
      <c r="F84" s="4">
        <v>12</v>
      </c>
      <c r="G84" s="4">
        <v>8</v>
      </c>
      <c r="H84" s="4">
        <v>16</v>
      </c>
      <c r="I84" s="4">
        <v>13</v>
      </c>
      <c r="J84" s="4">
        <v>11</v>
      </c>
      <c r="K84" s="4">
        <v>9</v>
      </c>
      <c r="L84" s="4">
        <v>11</v>
      </c>
      <c r="M84" s="4">
        <v>5</v>
      </c>
      <c r="N84" s="4">
        <v>8</v>
      </c>
      <c r="O84" s="4">
        <v>12</v>
      </c>
      <c r="P84" s="4">
        <v>1</v>
      </c>
    </row>
    <row r="85" spans="1:16">
      <c r="A85" s="46">
        <v>7</v>
      </c>
      <c r="B85" s="2" t="s">
        <v>103</v>
      </c>
      <c r="C85" s="2" t="s">
        <v>73</v>
      </c>
      <c r="D85" s="4">
        <v>155</v>
      </c>
      <c r="E85" s="4">
        <v>108</v>
      </c>
      <c r="F85" s="4">
        <v>220</v>
      </c>
      <c r="G85" s="4">
        <v>148</v>
      </c>
      <c r="H85" s="4">
        <v>189</v>
      </c>
      <c r="I85" s="4">
        <v>209</v>
      </c>
      <c r="J85" s="4">
        <v>133</v>
      </c>
      <c r="K85" s="4">
        <v>202</v>
      </c>
      <c r="L85" s="4">
        <v>290</v>
      </c>
      <c r="M85" s="4">
        <v>255</v>
      </c>
      <c r="N85" s="4">
        <v>147</v>
      </c>
      <c r="O85" s="4">
        <v>162</v>
      </c>
      <c r="P85" s="4">
        <v>186</v>
      </c>
    </row>
    <row r="86" spans="1:16">
      <c r="A86" s="46">
        <v>7</v>
      </c>
      <c r="B86" s="2" t="s">
        <v>103</v>
      </c>
      <c r="C86" s="2" t="s">
        <v>213</v>
      </c>
      <c r="D86" s="4">
        <v>8</v>
      </c>
      <c r="E86" s="4">
        <v>79</v>
      </c>
      <c r="F86" s="4">
        <v>6</v>
      </c>
      <c r="G86" s="4">
        <v>31</v>
      </c>
      <c r="H86" s="4">
        <v>22</v>
      </c>
      <c r="I86" s="4">
        <v>6</v>
      </c>
      <c r="J86" s="4">
        <v>11</v>
      </c>
      <c r="K86" s="4">
        <v>10</v>
      </c>
      <c r="L86" s="4">
        <v>12</v>
      </c>
      <c r="M86" s="4">
        <v>2</v>
      </c>
      <c r="N86" s="4">
        <v>8</v>
      </c>
      <c r="O86" s="4">
        <v>4</v>
      </c>
      <c r="P86" s="4">
        <v>10</v>
      </c>
    </row>
    <row r="87" spans="1:16">
      <c r="A87" s="46">
        <v>7</v>
      </c>
      <c r="B87" s="2" t="s">
        <v>103</v>
      </c>
      <c r="C87" s="2" t="s">
        <v>77</v>
      </c>
      <c r="D87" s="4">
        <v>35</v>
      </c>
      <c r="E87" s="4">
        <v>54</v>
      </c>
      <c r="F87" s="4">
        <v>38</v>
      </c>
      <c r="G87" s="4">
        <v>104</v>
      </c>
      <c r="H87" s="4">
        <v>44</v>
      </c>
      <c r="I87" s="4">
        <v>120</v>
      </c>
      <c r="J87" s="4">
        <v>75</v>
      </c>
      <c r="K87" s="4">
        <v>94</v>
      </c>
      <c r="L87" s="4">
        <v>161</v>
      </c>
      <c r="M87" s="4">
        <v>70</v>
      </c>
      <c r="N87" s="4">
        <v>147</v>
      </c>
      <c r="O87" s="4">
        <v>152</v>
      </c>
      <c r="P87" s="4">
        <v>112</v>
      </c>
    </row>
    <row r="88" spans="1:16">
      <c r="A88" s="46">
        <v>7</v>
      </c>
      <c r="B88" s="2" t="s">
        <v>103</v>
      </c>
      <c r="C88" s="2" t="s">
        <v>79</v>
      </c>
      <c r="D88" s="4">
        <v>15</v>
      </c>
      <c r="E88" s="4">
        <v>9</v>
      </c>
      <c r="F88" s="4">
        <v>-1</v>
      </c>
      <c r="G88" s="4">
        <v>40</v>
      </c>
      <c r="H88" s="4">
        <v>36</v>
      </c>
      <c r="I88" s="4">
        <v>11</v>
      </c>
      <c r="J88" s="4">
        <v>7</v>
      </c>
      <c r="K88" s="4">
        <v>23</v>
      </c>
      <c r="L88" s="4">
        <v>26</v>
      </c>
      <c r="M88" s="4">
        <v>32</v>
      </c>
      <c r="N88" s="4">
        <v>26</v>
      </c>
      <c r="O88" s="4">
        <v>12</v>
      </c>
      <c r="P88" s="4">
        <v>48</v>
      </c>
    </row>
    <row r="89" spans="1:16">
      <c r="A89" s="46">
        <v>7</v>
      </c>
      <c r="B89" s="2" t="s">
        <v>103</v>
      </c>
      <c r="C89" s="2" t="s">
        <v>54</v>
      </c>
      <c r="D89" s="4">
        <v>10</v>
      </c>
      <c r="E89" s="4">
        <v>20</v>
      </c>
      <c r="F89" s="4">
        <v>6</v>
      </c>
      <c r="G89" s="4">
        <v>72</v>
      </c>
      <c r="H89" s="4">
        <v>135</v>
      </c>
      <c r="I89" s="4">
        <v>20</v>
      </c>
      <c r="J89" s="4">
        <v>101</v>
      </c>
      <c r="K89" s="4">
        <v>39</v>
      </c>
      <c r="L89" s="4">
        <v>29</v>
      </c>
      <c r="M89" s="4">
        <v>59</v>
      </c>
      <c r="N89" s="4">
        <v>28</v>
      </c>
      <c r="O89" s="4">
        <v>70</v>
      </c>
      <c r="P89" s="4">
        <v>92</v>
      </c>
    </row>
    <row r="90" spans="1:16">
      <c r="A90" s="46">
        <v>7</v>
      </c>
      <c r="B90" s="2" t="s">
        <v>103</v>
      </c>
      <c r="C90" s="2" t="s">
        <v>82</v>
      </c>
      <c r="D90" s="4">
        <v>51</v>
      </c>
      <c r="E90" s="4">
        <v>70</v>
      </c>
      <c r="F90" s="4">
        <v>52</v>
      </c>
      <c r="G90" s="4">
        <v>146</v>
      </c>
      <c r="H90" s="4">
        <v>86</v>
      </c>
      <c r="I90" s="4">
        <v>75</v>
      </c>
      <c r="J90" s="4">
        <v>142</v>
      </c>
      <c r="K90" s="4">
        <v>247</v>
      </c>
      <c r="L90" s="4">
        <v>113</v>
      </c>
      <c r="M90" s="4">
        <v>79</v>
      </c>
      <c r="N90" s="4">
        <v>101</v>
      </c>
      <c r="O90" s="4">
        <v>113</v>
      </c>
      <c r="P90" s="4">
        <v>75</v>
      </c>
    </row>
    <row r="91" spans="1:16">
      <c r="A91" s="46">
        <v>7</v>
      </c>
      <c r="B91" s="2" t="s">
        <v>103</v>
      </c>
      <c r="C91" s="2" t="s">
        <v>84</v>
      </c>
      <c r="D91" s="4">
        <v>17</v>
      </c>
      <c r="E91" s="4">
        <v>5</v>
      </c>
      <c r="F91" s="4">
        <v>14</v>
      </c>
      <c r="G91" s="4">
        <v>7</v>
      </c>
      <c r="H91" s="4">
        <v>4</v>
      </c>
      <c r="I91" s="4">
        <v>12</v>
      </c>
      <c r="J91" s="4">
        <v>10</v>
      </c>
      <c r="K91" s="4">
        <v>9</v>
      </c>
      <c r="L91" s="4">
        <v>16</v>
      </c>
      <c r="M91" s="4">
        <v>19</v>
      </c>
      <c r="N91" s="4">
        <v>12</v>
      </c>
      <c r="O91" s="4">
        <v>33</v>
      </c>
      <c r="P91" s="4">
        <v>9</v>
      </c>
    </row>
    <row r="92" spans="1:16">
      <c r="A92" s="46">
        <v>7</v>
      </c>
      <c r="B92" s="2" t="s">
        <v>103</v>
      </c>
      <c r="C92" s="2" t="s">
        <v>86</v>
      </c>
      <c r="D92" s="4">
        <v>594</v>
      </c>
      <c r="E92" s="4">
        <v>356</v>
      </c>
      <c r="F92" s="4">
        <v>308</v>
      </c>
      <c r="G92" s="4">
        <v>130</v>
      </c>
      <c r="H92" s="4">
        <v>253</v>
      </c>
      <c r="I92" s="4">
        <v>387</v>
      </c>
      <c r="J92" s="4">
        <v>242</v>
      </c>
      <c r="K92" s="4">
        <v>258</v>
      </c>
      <c r="L92" s="4">
        <v>317</v>
      </c>
      <c r="M92" s="4">
        <v>446</v>
      </c>
      <c r="N92" s="4">
        <v>384</v>
      </c>
      <c r="O92" s="4">
        <v>300</v>
      </c>
      <c r="P92" s="4">
        <v>506</v>
      </c>
    </row>
    <row r="93" spans="1:16">
      <c r="A93" s="46">
        <v>7</v>
      </c>
      <c r="B93" s="2" t="s">
        <v>103</v>
      </c>
      <c r="C93" s="2" t="s">
        <v>214</v>
      </c>
      <c r="D93" s="4">
        <v>76</v>
      </c>
      <c r="E93" s="4">
        <v>37</v>
      </c>
      <c r="F93" s="4">
        <v>157</v>
      </c>
      <c r="G93" s="4">
        <v>41</v>
      </c>
      <c r="H93" s="4">
        <v>25</v>
      </c>
      <c r="I93" s="4">
        <v>-3</v>
      </c>
      <c r="J93" s="4">
        <v>37</v>
      </c>
      <c r="K93" s="4">
        <v>102</v>
      </c>
      <c r="L93" s="4">
        <v>21</v>
      </c>
      <c r="M93" s="4">
        <v>15</v>
      </c>
      <c r="N93" s="4">
        <v>21</v>
      </c>
      <c r="O93" s="4">
        <v>19</v>
      </c>
      <c r="P93" s="4">
        <v>22</v>
      </c>
    </row>
    <row r="94" spans="1:16">
      <c r="A94" s="46">
        <v>8</v>
      </c>
      <c r="B94" s="2" t="s">
        <v>105</v>
      </c>
      <c r="C94" s="2" t="s">
        <v>210</v>
      </c>
      <c r="D94" s="4">
        <v>157</v>
      </c>
      <c r="E94" s="4">
        <v>135</v>
      </c>
      <c r="F94" s="4">
        <v>147</v>
      </c>
      <c r="G94" s="4">
        <v>93</v>
      </c>
      <c r="H94" s="4">
        <v>142</v>
      </c>
      <c r="I94" s="4">
        <v>115</v>
      </c>
      <c r="J94" s="4">
        <v>166</v>
      </c>
      <c r="K94" s="4">
        <v>257</v>
      </c>
      <c r="L94" s="4">
        <v>128</v>
      </c>
      <c r="M94" s="4">
        <v>158</v>
      </c>
      <c r="N94" s="4">
        <v>114</v>
      </c>
      <c r="O94" s="4">
        <v>257</v>
      </c>
      <c r="P94" s="4">
        <v>95</v>
      </c>
    </row>
    <row r="95" spans="1:16">
      <c r="A95" s="46">
        <v>8</v>
      </c>
      <c r="B95" s="2" t="s">
        <v>105</v>
      </c>
      <c r="C95" s="2" t="s">
        <v>211</v>
      </c>
      <c r="D95" s="4">
        <v>48</v>
      </c>
      <c r="E95" s="4">
        <v>16</v>
      </c>
      <c r="F95" s="4">
        <v>169</v>
      </c>
      <c r="G95" s="4">
        <v>112</v>
      </c>
      <c r="H95" s="4">
        <v>93</v>
      </c>
      <c r="I95" s="4">
        <v>107</v>
      </c>
      <c r="J95" s="4">
        <v>73</v>
      </c>
      <c r="K95" s="4">
        <v>123</v>
      </c>
      <c r="L95" s="4">
        <v>108</v>
      </c>
      <c r="M95" s="4">
        <v>83</v>
      </c>
      <c r="N95" s="4">
        <v>90</v>
      </c>
      <c r="O95" s="4">
        <v>122</v>
      </c>
      <c r="P95" s="4">
        <v>155</v>
      </c>
    </row>
    <row r="96" spans="1:16">
      <c r="A96" s="46">
        <v>8</v>
      </c>
      <c r="B96" s="2" t="s">
        <v>105</v>
      </c>
      <c r="C96" s="2" t="s">
        <v>65</v>
      </c>
      <c r="D96" s="4">
        <v>92</v>
      </c>
      <c r="E96" s="4">
        <v>156</v>
      </c>
      <c r="F96" s="4">
        <v>123</v>
      </c>
      <c r="G96" s="4">
        <v>205</v>
      </c>
      <c r="H96" s="4">
        <v>149</v>
      </c>
      <c r="I96" s="4">
        <v>121</v>
      </c>
      <c r="J96" s="4">
        <v>125</v>
      </c>
      <c r="K96" s="4">
        <v>166</v>
      </c>
      <c r="L96" s="4">
        <v>144</v>
      </c>
      <c r="M96" s="4">
        <v>266</v>
      </c>
      <c r="N96" s="4">
        <v>236</v>
      </c>
      <c r="O96" s="4">
        <v>341</v>
      </c>
      <c r="P96" s="4">
        <v>336</v>
      </c>
    </row>
    <row r="97" spans="1:16">
      <c r="A97" s="46">
        <v>8</v>
      </c>
      <c r="B97" s="2" t="s">
        <v>105</v>
      </c>
      <c r="C97" s="2" t="s">
        <v>67</v>
      </c>
      <c r="D97" s="4">
        <v>431</v>
      </c>
      <c r="E97" s="4">
        <v>554</v>
      </c>
      <c r="F97" s="4">
        <v>361</v>
      </c>
      <c r="G97" s="4">
        <v>601</v>
      </c>
      <c r="H97" s="4">
        <v>644</v>
      </c>
      <c r="I97" s="4">
        <v>337</v>
      </c>
      <c r="J97" s="4">
        <v>608</v>
      </c>
      <c r="K97" s="4">
        <v>605</v>
      </c>
      <c r="L97" s="4">
        <v>774</v>
      </c>
      <c r="M97" s="4">
        <v>796</v>
      </c>
      <c r="N97" s="4">
        <v>647</v>
      </c>
      <c r="O97" s="4">
        <v>1167</v>
      </c>
      <c r="P97" s="4">
        <v>944</v>
      </c>
    </row>
    <row r="98" spans="1:16">
      <c r="A98" s="46">
        <v>8</v>
      </c>
      <c r="B98" s="2" t="s">
        <v>105</v>
      </c>
      <c r="C98" s="2" t="s">
        <v>69</v>
      </c>
      <c r="D98" s="4">
        <v>20</v>
      </c>
      <c r="E98" s="4">
        <v>40</v>
      </c>
      <c r="F98" s="4">
        <v>21</v>
      </c>
      <c r="G98" s="4">
        <v>24</v>
      </c>
      <c r="H98" s="4">
        <v>42</v>
      </c>
      <c r="I98" s="4">
        <v>65</v>
      </c>
      <c r="J98" s="4">
        <v>23</v>
      </c>
      <c r="K98" s="4">
        <v>71</v>
      </c>
      <c r="L98" s="4">
        <v>20</v>
      </c>
      <c r="M98" s="4">
        <v>27</v>
      </c>
      <c r="N98" s="4">
        <v>68</v>
      </c>
      <c r="O98" s="4">
        <v>64</v>
      </c>
      <c r="P98" s="4">
        <v>39</v>
      </c>
    </row>
    <row r="99" spans="1:16">
      <c r="A99" s="46">
        <v>8</v>
      </c>
      <c r="B99" s="2" t="s">
        <v>105</v>
      </c>
      <c r="C99" s="2" t="s">
        <v>212</v>
      </c>
      <c r="D99" s="4">
        <v>3</v>
      </c>
      <c r="E99" s="4">
        <v>4</v>
      </c>
      <c r="F99" s="4">
        <v>8</v>
      </c>
      <c r="G99" s="4">
        <v>6</v>
      </c>
      <c r="H99" s="4">
        <v>12</v>
      </c>
      <c r="I99" s="4">
        <v>7</v>
      </c>
      <c r="J99" s="4">
        <v>1</v>
      </c>
      <c r="K99" s="4">
        <v>4</v>
      </c>
      <c r="L99" s="4">
        <v>8</v>
      </c>
      <c r="M99" s="4">
        <v>15</v>
      </c>
      <c r="N99" s="4">
        <v>7</v>
      </c>
      <c r="O99" s="4">
        <v>3</v>
      </c>
      <c r="P99" s="4">
        <v>2</v>
      </c>
    </row>
    <row r="100" spans="1:16">
      <c r="A100" s="46">
        <v>8</v>
      </c>
      <c r="B100" s="2" t="s">
        <v>105</v>
      </c>
      <c r="C100" s="2" t="s">
        <v>73</v>
      </c>
      <c r="D100" s="4">
        <v>184</v>
      </c>
      <c r="E100" s="4">
        <v>174</v>
      </c>
      <c r="F100" s="4">
        <v>291</v>
      </c>
      <c r="G100" s="4">
        <v>401</v>
      </c>
      <c r="H100" s="4">
        <v>297</v>
      </c>
      <c r="I100" s="4">
        <v>313</v>
      </c>
      <c r="J100" s="4">
        <v>315</v>
      </c>
      <c r="K100" s="4">
        <v>393</v>
      </c>
      <c r="L100" s="4">
        <v>416</v>
      </c>
      <c r="M100" s="4">
        <v>353</v>
      </c>
      <c r="N100" s="4">
        <v>468</v>
      </c>
      <c r="O100" s="4">
        <v>458</v>
      </c>
      <c r="P100" s="4">
        <v>418</v>
      </c>
    </row>
    <row r="101" spans="1:16">
      <c r="A101" s="46">
        <v>8</v>
      </c>
      <c r="B101" s="2" t="s">
        <v>105</v>
      </c>
      <c r="C101" s="2" t="s">
        <v>213</v>
      </c>
      <c r="D101" s="4">
        <v>32</v>
      </c>
      <c r="E101" s="4">
        <v>13</v>
      </c>
      <c r="F101" s="4">
        <v>27</v>
      </c>
      <c r="G101" s="4">
        <v>70</v>
      </c>
      <c r="H101" s="4">
        <v>37</v>
      </c>
      <c r="I101" s="4">
        <v>63</v>
      </c>
      <c r="J101" s="4">
        <v>29</v>
      </c>
      <c r="K101" s="4">
        <v>45</v>
      </c>
      <c r="L101" s="4">
        <v>91</v>
      </c>
      <c r="M101" s="4">
        <v>15</v>
      </c>
      <c r="N101" s="4">
        <v>79</v>
      </c>
      <c r="O101" s="4">
        <v>63</v>
      </c>
      <c r="P101" s="4">
        <v>44</v>
      </c>
    </row>
    <row r="102" spans="1:16">
      <c r="A102" s="46">
        <v>8</v>
      </c>
      <c r="B102" s="2" t="s">
        <v>105</v>
      </c>
      <c r="C102" s="2" t="s">
        <v>77</v>
      </c>
      <c r="D102" s="4">
        <v>109</v>
      </c>
      <c r="E102" s="4">
        <v>243</v>
      </c>
      <c r="F102" s="4">
        <v>137</v>
      </c>
      <c r="G102" s="4">
        <v>262</v>
      </c>
      <c r="H102" s="4">
        <v>141</v>
      </c>
      <c r="I102" s="4">
        <v>201</v>
      </c>
      <c r="J102" s="4">
        <v>176</v>
      </c>
      <c r="K102" s="4">
        <v>343</v>
      </c>
      <c r="L102" s="4">
        <v>141</v>
      </c>
      <c r="M102" s="4">
        <v>194</v>
      </c>
      <c r="N102" s="4">
        <v>309</v>
      </c>
      <c r="O102" s="4">
        <v>297</v>
      </c>
      <c r="P102" s="4">
        <v>173</v>
      </c>
    </row>
    <row r="103" spans="1:16">
      <c r="A103" s="46">
        <v>8</v>
      </c>
      <c r="B103" s="2" t="s">
        <v>105</v>
      </c>
      <c r="C103" s="2" t="s">
        <v>79</v>
      </c>
      <c r="D103" s="4">
        <v>66</v>
      </c>
      <c r="E103" s="4">
        <v>29</v>
      </c>
      <c r="F103" s="4">
        <v>69</v>
      </c>
      <c r="G103" s="4">
        <v>50</v>
      </c>
      <c r="H103" s="4">
        <v>32</v>
      </c>
      <c r="I103" s="4">
        <v>30</v>
      </c>
      <c r="J103" s="4">
        <v>31</v>
      </c>
      <c r="K103" s="4">
        <v>65</v>
      </c>
      <c r="L103" s="4">
        <v>29</v>
      </c>
      <c r="M103" s="4">
        <v>37</v>
      </c>
      <c r="N103" s="4">
        <v>32</v>
      </c>
      <c r="O103" s="4">
        <v>52</v>
      </c>
      <c r="P103" s="4">
        <v>44</v>
      </c>
    </row>
    <row r="104" spans="1:16">
      <c r="A104" s="46">
        <v>8</v>
      </c>
      <c r="B104" s="2" t="s">
        <v>105</v>
      </c>
      <c r="C104" s="2" t="s">
        <v>54</v>
      </c>
      <c r="D104" s="4">
        <v>16</v>
      </c>
      <c r="E104" s="4">
        <v>31</v>
      </c>
      <c r="F104" s="4">
        <v>30</v>
      </c>
      <c r="G104" s="4">
        <v>49</v>
      </c>
      <c r="H104" s="4">
        <v>35</v>
      </c>
      <c r="I104" s="4">
        <v>105</v>
      </c>
      <c r="J104" s="4">
        <v>29</v>
      </c>
      <c r="K104" s="4">
        <v>48</v>
      </c>
      <c r="L104" s="4">
        <v>70</v>
      </c>
      <c r="M104" s="4">
        <v>67</v>
      </c>
      <c r="N104" s="4">
        <v>17</v>
      </c>
      <c r="O104" s="4">
        <v>25</v>
      </c>
      <c r="P104" s="4">
        <v>71</v>
      </c>
    </row>
    <row r="105" spans="1:16">
      <c r="A105" s="46">
        <v>8</v>
      </c>
      <c r="B105" s="2" t="s">
        <v>105</v>
      </c>
      <c r="C105" s="2" t="s">
        <v>82</v>
      </c>
      <c r="D105" s="4">
        <v>158</v>
      </c>
      <c r="E105" s="4">
        <v>24</v>
      </c>
      <c r="F105" s="4">
        <v>130</v>
      </c>
      <c r="G105" s="4">
        <v>69</v>
      </c>
      <c r="H105" s="4">
        <v>123</v>
      </c>
      <c r="I105" s="4">
        <v>114</v>
      </c>
      <c r="J105" s="4">
        <v>54</v>
      </c>
      <c r="K105" s="4">
        <v>177</v>
      </c>
      <c r="L105" s="4">
        <v>116</v>
      </c>
      <c r="M105" s="4">
        <v>255</v>
      </c>
      <c r="N105" s="4">
        <v>201</v>
      </c>
      <c r="O105" s="4">
        <v>187</v>
      </c>
      <c r="P105" s="4">
        <v>160</v>
      </c>
    </row>
    <row r="106" spans="1:16">
      <c r="A106" s="46">
        <v>8</v>
      </c>
      <c r="B106" s="2" t="s">
        <v>105</v>
      </c>
      <c r="C106" s="2" t="s">
        <v>84</v>
      </c>
      <c r="D106" s="4">
        <v>88</v>
      </c>
      <c r="E106" s="4">
        <v>43</v>
      </c>
      <c r="F106" s="4">
        <v>72</v>
      </c>
      <c r="G106" s="4">
        <v>90</v>
      </c>
      <c r="H106" s="4">
        <v>77</v>
      </c>
      <c r="I106" s="4">
        <v>23</v>
      </c>
      <c r="J106" s="4">
        <v>37</v>
      </c>
      <c r="K106" s="4">
        <v>90</v>
      </c>
      <c r="L106" s="4">
        <v>108</v>
      </c>
      <c r="M106" s="4">
        <v>90</v>
      </c>
      <c r="N106" s="4">
        <v>33</v>
      </c>
      <c r="O106" s="4">
        <v>51</v>
      </c>
      <c r="P106" s="4">
        <v>101</v>
      </c>
    </row>
    <row r="107" spans="1:16">
      <c r="A107" s="46">
        <v>8</v>
      </c>
      <c r="B107" s="2" t="s">
        <v>105</v>
      </c>
      <c r="C107" s="2" t="s">
        <v>86</v>
      </c>
      <c r="D107" s="4">
        <v>523</v>
      </c>
      <c r="E107" s="4">
        <v>483</v>
      </c>
      <c r="F107" s="4">
        <v>374</v>
      </c>
      <c r="G107" s="4">
        <v>318</v>
      </c>
      <c r="H107" s="4">
        <v>427</v>
      </c>
      <c r="I107" s="4">
        <v>582</v>
      </c>
      <c r="J107" s="4">
        <v>314</v>
      </c>
      <c r="K107" s="4">
        <v>547</v>
      </c>
      <c r="L107" s="4">
        <v>483</v>
      </c>
      <c r="M107" s="4">
        <v>545</v>
      </c>
      <c r="N107" s="4">
        <v>511</v>
      </c>
      <c r="O107" s="4">
        <v>684</v>
      </c>
      <c r="P107" s="4">
        <v>518</v>
      </c>
    </row>
    <row r="108" spans="1:16">
      <c r="A108" s="46">
        <v>8</v>
      </c>
      <c r="B108" s="2" t="s">
        <v>105</v>
      </c>
      <c r="C108" s="2" t="s">
        <v>214</v>
      </c>
      <c r="D108" s="4">
        <v>20</v>
      </c>
      <c r="E108" s="4">
        <v>34</v>
      </c>
      <c r="F108" s="4">
        <v>27</v>
      </c>
      <c r="G108" s="4">
        <v>71</v>
      </c>
      <c r="H108" s="4">
        <v>19</v>
      </c>
      <c r="I108" s="4">
        <v>47</v>
      </c>
      <c r="J108" s="4">
        <v>36</v>
      </c>
      <c r="K108" s="4">
        <v>72</v>
      </c>
      <c r="L108" s="4">
        <v>115</v>
      </c>
      <c r="M108" s="4">
        <v>117</v>
      </c>
      <c r="N108" s="4">
        <v>53</v>
      </c>
      <c r="O108" s="4">
        <v>61</v>
      </c>
      <c r="P108" s="4">
        <v>36</v>
      </c>
    </row>
    <row r="109" spans="1:16">
      <c r="A109" s="46">
        <v>9</v>
      </c>
      <c r="B109" s="2" t="s">
        <v>107</v>
      </c>
      <c r="C109" s="2" t="s">
        <v>210</v>
      </c>
      <c r="D109" s="4">
        <v>163</v>
      </c>
      <c r="E109" s="4">
        <v>138</v>
      </c>
      <c r="F109" s="4">
        <v>104</v>
      </c>
      <c r="G109" s="4">
        <v>65</v>
      </c>
      <c r="H109" s="4">
        <v>111</v>
      </c>
      <c r="I109" s="4">
        <v>30</v>
      </c>
      <c r="J109" s="4">
        <v>56</v>
      </c>
      <c r="K109" s="4">
        <v>77</v>
      </c>
      <c r="L109" s="4">
        <v>53</v>
      </c>
      <c r="M109" s="4">
        <v>41</v>
      </c>
      <c r="N109" s="4">
        <v>83</v>
      </c>
      <c r="O109" s="4">
        <v>108</v>
      </c>
      <c r="P109" s="4">
        <v>47</v>
      </c>
    </row>
    <row r="110" spans="1:16">
      <c r="A110" s="46">
        <v>9</v>
      </c>
      <c r="B110" s="2" t="s">
        <v>107</v>
      </c>
      <c r="C110" s="2" t="s">
        <v>211</v>
      </c>
      <c r="D110" s="4">
        <v>394</v>
      </c>
      <c r="E110" s="4">
        <v>285</v>
      </c>
      <c r="F110" s="4">
        <v>101</v>
      </c>
      <c r="G110" s="4">
        <v>85</v>
      </c>
      <c r="H110" s="4">
        <v>319</v>
      </c>
      <c r="I110" s="4">
        <v>78</v>
      </c>
      <c r="J110" s="4">
        <v>81</v>
      </c>
      <c r="K110" s="4">
        <v>203</v>
      </c>
      <c r="L110" s="4">
        <v>305</v>
      </c>
      <c r="M110" s="4">
        <v>188</v>
      </c>
      <c r="N110" s="4">
        <v>95</v>
      </c>
      <c r="O110" s="4">
        <v>437</v>
      </c>
      <c r="P110" s="4">
        <v>153</v>
      </c>
    </row>
    <row r="111" spans="1:16">
      <c r="A111" s="46">
        <v>9</v>
      </c>
      <c r="B111" s="2" t="s">
        <v>107</v>
      </c>
      <c r="C111" s="2" t="s">
        <v>65</v>
      </c>
      <c r="D111" s="4">
        <v>110</v>
      </c>
      <c r="E111" s="4">
        <v>84</v>
      </c>
      <c r="F111" s="4">
        <v>46</v>
      </c>
      <c r="G111" s="4">
        <v>174</v>
      </c>
      <c r="H111" s="4">
        <v>146</v>
      </c>
      <c r="I111" s="4">
        <v>95</v>
      </c>
      <c r="J111" s="4">
        <v>129</v>
      </c>
      <c r="K111" s="4">
        <v>97</v>
      </c>
      <c r="L111" s="4">
        <v>793</v>
      </c>
      <c r="M111" s="4">
        <v>133</v>
      </c>
      <c r="N111" s="4">
        <v>160</v>
      </c>
      <c r="O111" s="4">
        <v>139</v>
      </c>
      <c r="P111" s="4">
        <v>99</v>
      </c>
    </row>
    <row r="112" spans="1:16">
      <c r="A112" s="46">
        <v>9</v>
      </c>
      <c r="B112" s="2" t="s">
        <v>107</v>
      </c>
      <c r="C112" s="2" t="s">
        <v>67</v>
      </c>
      <c r="D112" s="4">
        <v>1202</v>
      </c>
      <c r="E112" s="4">
        <v>938</v>
      </c>
      <c r="F112" s="4">
        <v>1247</v>
      </c>
      <c r="G112" s="4">
        <v>1191</v>
      </c>
      <c r="H112" s="4">
        <v>2299</v>
      </c>
      <c r="I112" s="4">
        <v>461</v>
      </c>
      <c r="J112" s="4">
        <v>546</v>
      </c>
      <c r="K112" s="4">
        <v>546</v>
      </c>
      <c r="L112" s="4">
        <v>861</v>
      </c>
      <c r="M112" s="4">
        <v>610</v>
      </c>
      <c r="N112" s="4">
        <v>619</v>
      </c>
      <c r="O112" s="4">
        <v>670</v>
      </c>
      <c r="P112" s="4">
        <v>1608</v>
      </c>
    </row>
    <row r="113" spans="1:16">
      <c r="A113" s="46">
        <v>9</v>
      </c>
      <c r="B113" s="2" t="s">
        <v>107</v>
      </c>
      <c r="C113" s="2" t="s">
        <v>69</v>
      </c>
      <c r="D113" s="4">
        <v>27</v>
      </c>
      <c r="E113" s="4">
        <v>45</v>
      </c>
      <c r="F113" s="4">
        <v>13</v>
      </c>
      <c r="G113" s="4">
        <v>17</v>
      </c>
      <c r="H113" s="4">
        <v>17</v>
      </c>
      <c r="I113" s="4">
        <v>27</v>
      </c>
      <c r="J113" s="4">
        <v>140</v>
      </c>
      <c r="K113" s="4">
        <v>96</v>
      </c>
      <c r="L113" s="4">
        <v>24</v>
      </c>
      <c r="M113" s="4">
        <v>105</v>
      </c>
      <c r="N113" s="4">
        <v>39</v>
      </c>
      <c r="O113" s="4">
        <v>235</v>
      </c>
      <c r="P113" s="4">
        <v>39</v>
      </c>
    </row>
    <row r="114" spans="1:16">
      <c r="A114" s="46">
        <v>9</v>
      </c>
      <c r="B114" s="2" t="s">
        <v>107</v>
      </c>
      <c r="C114" s="2" t="s">
        <v>212</v>
      </c>
      <c r="D114" s="4">
        <v>152</v>
      </c>
      <c r="E114" s="4">
        <v>12</v>
      </c>
      <c r="F114" s="4">
        <v>47</v>
      </c>
      <c r="G114" s="4">
        <v>64</v>
      </c>
      <c r="H114" s="4">
        <v>12</v>
      </c>
      <c r="I114" s="4">
        <v>12</v>
      </c>
      <c r="J114" s="4">
        <v>0</v>
      </c>
      <c r="K114" s="4">
        <v>11</v>
      </c>
      <c r="L114" s="4">
        <v>70</v>
      </c>
      <c r="M114" s="4">
        <v>91</v>
      </c>
      <c r="N114" s="4">
        <v>29</v>
      </c>
      <c r="O114" s="4">
        <v>8</v>
      </c>
      <c r="P114" s="4">
        <v>2</v>
      </c>
    </row>
    <row r="115" spans="1:16">
      <c r="A115" s="46">
        <v>9</v>
      </c>
      <c r="B115" s="2" t="s">
        <v>107</v>
      </c>
      <c r="C115" s="2" t="s">
        <v>73</v>
      </c>
      <c r="D115" s="4">
        <v>537</v>
      </c>
      <c r="E115" s="4">
        <v>1206</v>
      </c>
      <c r="F115" s="4">
        <v>293</v>
      </c>
      <c r="G115" s="4">
        <v>378</v>
      </c>
      <c r="H115" s="4">
        <v>213</v>
      </c>
      <c r="I115" s="4">
        <v>192</v>
      </c>
      <c r="J115" s="4">
        <v>187</v>
      </c>
      <c r="K115" s="4">
        <v>374</v>
      </c>
      <c r="L115" s="4">
        <v>236</v>
      </c>
      <c r="M115" s="4">
        <v>276</v>
      </c>
      <c r="N115" s="4">
        <v>358</v>
      </c>
      <c r="O115" s="4">
        <v>443</v>
      </c>
      <c r="P115" s="4">
        <v>263</v>
      </c>
    </row>
    <row r="116" spans="1:16">
      <c r="A116" s="46">
        <v>9</v>
      </c>
      <c r="B116" s="2" t="s">
        <v>107</v>
      </c>
      <c r="C116" s="2" t="s">
        <v>213</v>
      </c>
      <c r="D116" s="4">
        <v>19</v>
      </c>
      <c r="E116" s="4">
        <v>116</v>
      </c>
      <c r="F116" s="4">
        <v>25</v>
      </c>
      <c r="G116" s="4">
        <v>72</v>
      </c>
      <c r="H116" s="4">
        <v>16</v>
      </c>
      <c r="I116" s="4">
        <v>33</v>
      </c>
      <c r="J116" s="4">
        <v>117</v>
      </c>
      <c r="K116" s="4">
        <v>120</v>
      </c>
      <c r="L116" s="4">
        <v>90</v>
      </c>
      <c r="M116" s="4">
        <v>224</v>
      </c>
      <c r="N116" s="4">
        <v>54</v>
      </c>
      <c r="O116" s="4">
        <v>49</v>
      </c>
      <c r="P116" s="4">
        <v>108</v>
      </c>
    </row>
    <row r="117" spans="1:16">
      <c r="A117" s="46">
        <v>9</v>
      </c>
      <c r="B117" s="2" t="s">
        <v>107</v>
      </c>
      <c r="C117" s="2" t="s">
        <v>77</v>
      </c>
      <c r="D117" s="4">
        <v>534</v>
      </c>
      <c r="E117" s="4">
        <v>144</v>
      </c>
      <c r="F117" s="4">
        <v>379</v>
      </c>
      <c r="G117" s="4">
        <v>-2</v>
      </c>
      <c r="H117" s="4">
        <v>240</v>
      </c>
      <c r="I117" s="4">
        <v>115</v>
      </c>
      <c r="J117" s="4">
        <v>314</v>
      </c>
      <c r="K117" s="4">
        <v>290</v>
      </c>
      <c r="L117" s="4">
        <v>517</v>
      </c>
      <c r="M117" s="4">
        <v>235</v>
      </c>
      <c r="N117" s="4">
        <v>131</v>
      </c>
      <c r="O117" s="4">
        <v>241</v>
      </c>
      <c r="P117" s="4">
        <v>552</v>
      </c>
    </row>
    <row r="118" spans="1:16">
      <c r="A118" s="46">
        <v>9</v>
      </c>
      <c r="B118" s="2" t="s">
        <v>107</v>
      </c>
      <c r="C118" s="2" t="s">
        <v>79</v>
      </c>
      <c r="D118" s="4">
        <v>69</v>
      </c>
      <c r="E118" s="4">
        <v>66</v>
      </c>
      <c r="F118" s="4">
        <v>47</v>
      </c>
      <c r="G118" s="4">
        <v>40</v>
      </c>
      <c r="H118" s="4">
        <v>8</v>
      </c>
      <c r="I118" s="4">
        <v>82</v>
      </c>
      <c r="J118" s="4">
        <v>72</v>
      </c>
      <c r="K118" s="4">
        <v>18</v>
      </c>
      <c r="L118" s="4">
        <v>7</v>
      </c>
      <c r="M118" s="4">
        <v>77</v>
      </c>
      <c r="N118" s="4">
        <v>54</v>
      </c>
      <c r="O118" s="4">
        <v>156</v>
      </c>
      <c r="P118" s="4">
        <v>-14</v>
      </c>
    </row>
    <row r="119" spans="1:16">
      <c r="A119" s="46">
        <v>9</v>
      </c>
      <c r="B119" s="2" t="s">
        <v>107</v>
      </c>
      <c r="C119" s="2" t="s">
        <v>54</v>
      </c>
      <c r="D119" s="4">
        <v>12</v>
      </c>
      <c r="E119" s="4">
        <v>4</v>
      </c>
      <c r="F119" s="4">
        <v>55</v>
      </c>
      <c r="G119" s="4">
        <v>56</v>
      </c>
      <c r="H119" s="4">
        <v>32</v>
      </c>
      <c r="I119" s="4">
        <v>7</v>
      </c>
      <c r="J119" s="4">
        <v>5</v>
      </c>
      <c r="K119" s="4">
        <v>1</v>
      </c>
      <c r="L119" s="4">
        <v>63</v>
      </c>
      <c r="M119" s="4">
        <v>6</v>
      </c>
      <c r="N119" s="4">
        <v>7</v>
      </c>
      <c r="O119" s="4">
        <v>3</v>
      </c>
      <c r="P119" s="4">
        <v>5</v>
      </c>
    </row>
    <row r="120" spans="1:16">
      <c r="A120" s="46">
        <v>9</v>
      </c>
      <c r="B120" s="2" t="s">
        <v>107</v>
      </c>
      <c r="C120" s="2" t="s">
        <v>82</v>
      </c>
      <c r="D120" s="4">
        <v>58</v>
      </c>
      <c r="E120" s="4">
        <v>18</v>
      </c>
      <c r="F120" s="4">
        <v>91</v>
      </c>
      <c r="G120" s="4">
        <v>247</v>
      </c>
      <c r="H120" s="4">
        <v>1085</v>
      </c>
      <c r="I120" s="4">
        <v>160</v>
      </c>
      <c r="J120" s="4">
        <v>90</v>
      </c>
      <c r="K120" s="4">
        <v>119</v>
      </c>
      <c r="L120" s="4">
        <v>119</v>
      </c>
      <c r="M120" s="4">
        <v>27</v>
      </c>
      <c r="N120" s="4">
        <v>69</v>
      </c>
      <c r="O120" s="4">
        <v>74</v>
      </c>
      <c r="P120" s="4">
        <v>64</v>
      </c>
    </row>
    <row r="121" spans="1:16">
      <c r="A121" s="46">
        <v>9</v>
      </c>
      <c r="B121" s="2" t="s">
        <v>107</v>
      </c>
      <c r="C121" s="2" t="s">
        <v>84</v>
      </c>
      <c r="D121" s="4">
        <v>61</v>
      </c>
      <c r="E121" s="4">
        <v>145</v>
      </c>
      <c r="F121" s="4">
        <v>64</v>
      </c>
      <c r="G121" s="4">
        <v>76</v>
      </c>
      <c r="H121" s="4">
        <v>24</v>
      </c>
      <c r="I121" s="4">
        <v>20</v>
      </c>
      <c r="J121" s="4">
        <v>69</v>
      </c>
      <c r="K121" s="4">
        <v>74</v>
      </c>
      <c r="L121" s="4">
        <v>42</v>
      </c>
      <c r="M121" s="4">
        <v>8</v>
      </c>
      <c r="N121" s="4">
        <v>57</v>
      </c>
      <c r="O121" s="4">
        <v>134</v>
      </c>
      <c r="P121" s="4">
        <v>146</v>
      </c>
    </row>
    <row r="122" spans="1:16">
      <c r="A122" s="46">
        <v>9</v>
      </c>
      <c r="B122" s="2" t="s">
        <v>107</v>
      </c>
      <c r="C122" s="2" t="s">
        <v>86</v>
      </c>
      <c r="D122" s="4">
        <v>316</v>
      </c>
      <c r="E122" s="4">
        <v>220</v>
      </c>
      <c r="F122" s="4">
        <v>328</v>
      </c>
      <c r="G122" s="4">
        <v>192</v>
      </c>
      <c r="H122" s="4">
        <v>77</v>
      </c>
      <c r="I122" s="4">
        <v>159</v>
      </c>
      <c r="J122" s="4">
        <v>185</v>
      </c>
      <c r="K122" s="4">
        <v>141</v>
      </c>
      <c r="L122" s="4">
        <v>424</v>
      </c>
      <c r="M122" s="4">
        <v>250</v>
      </c>
      <c r="N122" s="4">
        <v>391</v>
      </c>
      <c r="O122" s="4">
        <v>255</v>
      </c>
      <c r="P122" s="4">
        <v>208</v>
      </c>
    </row>
    <row r="123" spans="1:16">
      <c r="A123" s="46">
        <v>9</v>
      </c>
      <c r="B123" s="2" t="s">
        <v>107</v>
      </c>
      <c r="C123" s="2" t="s">
        <v>214</v>
      </c>
      <c r="D123" s="4">
        <v>40</v>
      </c>
      <c r="E123" s="4">
        <v>13</v>
      </c>
      <c r="F123" s="4">
        <v>24</v>
      </c>
      <c r="G123" s="4">
        <v>32</v>
      </c>
      <c r="H123" s="4">
        <v>17</v>
      </c>
      <c r="I123" s="4">
        <v>44</v>
      </c>
      <c r="J123" s="4">
        <v>37</v>
      </c>
      <c r="K123" s="4">
        <v>47</v>
      </c>
      <c r="L123" s="4">
        <v>40</v>
      </c>
      <c r="M123" s="4">
        <v>38</v>
      </c>
      <c r="N123" s="4">
        <v>15</v>
      </c>
      <c r="O123" s="4">
        <v>11</v>
      </c>
      <c r="P123" s="4">
        <v>22</v>
      </c>
    </row>
    <row r="124" spans="1:16">
      <c r="A124" s="46">
        <v>10</v>
      </c>
      <c r="B124" s="2" t="s">
        <v>109</v>
      </c>
      <c r="C124" s="2" t="s">
        <v>210</v>
      </c>
      <c r="D124" s="4">
        <v>4</v>
      </c>
      <c r="E124" s="4">
        <v>7</v>
      </c>
      <c r="F124" s="4">
        <v>12</v>
      </c>
      <c r="G124" s="4">
        <v>11</v>
      </c>
      <c r="H124" s="4">
        <v>12</v>
      </c>
      <c r="I124" s="4">
        <v>19</v>
      </c>
      <c r="J124" s="4">
        <v>5</v>
      </c>
      <c r="K124" s="4">
        <v>7</v>
      </c>
      <c r="L124" s="4">
        <v>13</v>
      </c>
      <c r="M124" s="4">
        <v>0</v>
      </c>
      <c r="N124" s="4">
        <v>10</v>
      </c>
      <c r="O124" s="4">
        <v>12</v>
      </c>
      <c r="P124" s="4">
        <v>2</v>
      </c>
    </row>
    <row r="125" spans="1:16">
      <c r="A125" s="46">
        <v>10</v>
      </c>
      <c r="B125" s="2" t="s">
        <v>109</v>
      </c>
      <c r="C125" s="2" t="s">
        <v>211</v>
      </c>
      <c r="D125" s="4">
        <v>14</v>
      </c>
      <c r="E125" s="4">
        <v>2</v>
      </c>
      <c r="F125" s="4">
        <v>16</v>
      </c>
      <c r="G125" s="4">
        <v>9</v>
      </c>
      <c r="H125" s="4">
        <v>21</v>
      </c>
      <c r="I125" s="4">
        <v>2</v>
      </c>
      <c r="J125" s="4">
        <v>10</v>
      </c>
      <c r="K125" s="4">
        <v>13</v>
      </c>
      <c r="L125" s="4">
        <v>24</v>
      </c>
      <c r="M125" s="4">
        <v>0</v>
      </c>
      <c r="N125" s="4">
        <v>15</v>
      </c>
      <c r="O125" s="4">
        <v>14</v>
      </c>
      <c r="P125" s="4">
        <v>4</v>
      </c>
    </row>
    <row r="126" spans="1:16">
      <c r="A126" s="46">
        <v>10</v>
      </c>
      <c r="B126" s="2" t="s">
        <v>109</v>
      </c>
      <c r="C126" s="2" t="s">
        <v>65</v>
      </c>
      <c r="D126" s="4">
        <v>58</v>
      </c>
      <c r="E126" s="4">
        <v>95</v>
      </c>
      <c r="F126" s="4">
        <v>99</v>
      </c>
      <c r="G126" s="4">
        <v>131</v>
      </c>
      <c r="H126" s="4">
        <v>48</v>
      </c>
      <c r="I126" s="4">
        <v>85</v>
      </c>
      <c r="J126" s="4">
        <v>102</v>
      </c>
      <c r="K126" s="4">
        <v>72</v>
      </c>
      <c r="L126" s="4">
        <v>106</v>
      </c>
      <c r="M126" s="4">
        <v>207</v>
      </c>
      <c r="N126" s="4">
        <v>135</v>
      </c>
      <c r="O126" s="4">
        <v>148</v>
      </c>
      <c r="P126" s="4">
        <v>175</v>
      </c>
    </row>
    <row r="127" spans="1:16">
      <c r="A127" s="46">
        <v>10</v>
      </c>
      <c r="B127" s="2" t="s">
        <v>109</v>
      </c>
      <c r="C127" s="2" t="s">
        <v>67</v>
      </c>
      <c r="D127" s="4">
        <v>72</v>
      </c>
      <c r="E127" s="4">
        <v>69</v>
      </c>
      <c r="F127" s="4">
        <v>85</v>
      </c>
      <c r="G127" s="4">
        <v>73</v>
      </c>
      <c r="H127" s="4">
        <v>138</v>
      </c>
      <c r="I127" s="4">
        <v>24</v>
      </c>
      <c r="J127" s="4">
        <v>117</v>
      </c>
      <c r="K127" s="4">
        <v>85</v>
      </c>
      <c r="L127" s="4">
        <v>146</v>
      </c>
      <c r="M127" s="4">
        <v>62</v>
      </c>
      <c r="N127" s="4">
        <v>466</v>
      </c>
      <c r="O127" s="4">
        <v>154</v>
      </c>
      <c r="P127" s="4">
        <v>119</v>
      </c>
    </row>
    <row r="128" spans="1:16">
      <c r="A128" s="46">
        <v>10</v>
      </c>
      <c r="B128" s="2" t="s">
        <v>109</v>
      </c>
      <c r="C128" s="2" t="s">
        <v>69</v>
      </c>
      <c r="D128" s="4">
        <v>8</v>
      </c>
      <c r="E128" s="4">
        <v>11</v>
      </c>
      <c r="F128" s="4">
        <v>23</v>
      </c>
      <c r="G128" s="4">
        <v>8</v>
      </c>
      <c r="H128" s="4">
        <v>8</v>
      </c>
      <c r="I128" s="4">
        <v>25</v>
      </c>
      <c r="J128" s="4">
        <v>12</v>
      </c>
      <c r="K128" s="4">
        <v>44</v>
      </c>
      <c r="L128" s="4">
        <v>16</v>
      </c>
      <c r="M128" s="4">
        <v>41</v>
      </c>
      <c r="N128" s="4">
        <v>14</v>
      </c>
      <c r="O128" s="4">
        <v>20</v>
      </c>
      <c r="P128" s="4">
        <v>27</v>
      </c>
    </row>
    <row r="129" spans="1:16">
      <c r="A129" s="46">
        <v>10</v>
      </c>
      <c r="B129" s="2" t="s">
        <v>109</v>
      </c>
      <c r="C129" s="2" t="s">
        <v>212</v>
      </c>
      <c r="D129" s="3"/>
      <c r="E129" s="3"/>
      <c r="F129" s="4">
        <v>2</v>
      </c>
      <c r="G129" s="4">
        <v>0</v>
      </c>
      <c r="H129" s="4">
        <v>4</v>
      </c>
      <c r="I129" s="4">
        <v>23</v>
      </c>
      <c r="J129" s="3"/>
      <c r="K129" s="4">
        <v>4</v>
      </c>
      <c r="L129" s="4">
        <v>0</v>
      </c>
      <c r="M129" s="3"/>
      <c r="N129" s="4">
        <v>2</v>
      </c>
      <c r="O129" s="4">
        <v>0</v>
      </c>
      <c r="P129" s="4">
        <v>6</v>
      </c>
    </row>
    <row r="130" spans="1:16">
      <c r="A130" s="46">
        <v>10</v>
      </c>
      <c r="B130" s="2" t="s">
        <v>109</v>
      </c>
      <c r="C130" s="2" t="s">
        <v>73</v>
      </c>
      <c r="D130" s="4">
        <v>30</v>
      </c>
      <c r="E130" s="4">
        <v>31</v>
      </c>
      <c r="F130" s="4">
        <v>92</v>
      </c>
      <c r="G130" s="4">
        <v>49</v>
      </c>
      <c r="H130" s="4">
        <v>36</v>
      </c>
      <c r="I130" s="4">
        <v>59</v>
      </c>
      <c r="J130" s="4">
        <v>53</v>
      </c>
      <c r="K130" s="4">
        <v>98</v>
      </c>
      <c r="L130" s="4">
        <v>45</v>
      </c>
      <c r="M130" s="4">
        <v>57</v>
      </c>
      <c r="N130" s="4">
        <v>56</v>
      </c>
      <c r="O130" s="4">
        <v>48</v>
      </c>
      <c r="P130" s="4">
        <v>37</v>
      </c>
    </row>
    <row r="131" spans="1:16">
      <c r="A131" s="46">
        <v>10</v>
      </c>
      <c r="B131" s="2" t="s">
        <v>109</v>
      </c>
      <c r="C131" s="2" t="s">
        <v>213</v>
      </c>
      <c r="D131" s="4">
        <v>8</v>
      </c>
      <c r="E131" s="4">
        <v>8</v>
      </c>
      <c r="F131" s="4">
        <v>20</v>
      </c>
      <c r="G131" s="4">
        <v>13</v>
      </c>
      <c r="H131" s="4">
        <v>9</v>
      </c>
      <c r="I131" s="4">
        <v>8</v>
      </c>
      <c r="J131" s="4">
        <v>9</v>
      </c>
      <c r="K131" s="4">
        <v>6</v>
      </c>
      <c r="L131" s="4">
        <v>3</v>
      </c>
      <c r="M131" s="4">
        <v>4</v>
      </c>
      <c r="N131" s="4">
        <v>9</v>
      </c>
      <c r="O131" s="4">
        <v>12</v>
      </c>
      <c r="P131" s="4">
        <v>34</v>
      </c>
    </row>
    <row r="132" spans="1:16">
      <c r="A132" s="46">
        <v>10</v>
      </c>
      <c r="B132" s="2" t="s">
        <v>109</v>
      </c>
      <c r="C132" s="2" t="s">
        <v>77</v>
      </c>
      <c r="D132" s="4">
        <v>23</v>
      </c>
      <c r="E132" s="4">
        <v>35</v>
      </c>
      <c r="F132" s="4">
        <v>21</v>
      </c>
      <c r="G132" s="4">
        <v>66</v>
      </c>
      <c r="H132" s="4">
        <v>28</v>
      </c>
      <c r="I132" s="4">
        <v>39</v>
      </c>
      <c r="J132" s="4">
        <v>54</v>
      </c>
      <c r="K132" s="4">
        <v>48</v>
      </c>
      <c r="L132" s="4">
        <v>21</v>
      </c>
      <c r="M132" s="4">
        <v>74</v>
      </c>
      <c r="N132" s="4">
        <v>42</v>
      </c>
      <c r="O132" s="4">
        <v>18</v>
      </c>
      <c r="P132" s="4">
        <v>31</v>
      </c>
    </row>
    <row r="133" spans="1:16">
      <c r="A133" s="46">
        <v>10</v>
      </c>
      <c r="B133" s="2" t="s">
        <v>109</v>
      </c>
      <c r="C133" s="2" t="s">
        <v>79</v>
      </c>
      <c r="D133" s="4">
        <v>17</v>
      </c>
      <c r="E133" s="4">
        <v>8</v>
      </c>
      <c r="F133" s="4">
        <v>2</v>
      </c>
      <c r="G133" s="4">
        <v>12</v>
      </c>
      <c r="H133" s="4">
        <v>0</v>
      </c>
      <c r="I133" s="4">
        <v>16</v>
      </c>
      <c r="J133" s="4">
        <v>13</v>
      </c>
      <c r="K133" s="4">
        <v>24</v>
      </c>
      <c r="L133" s="4">
        <v>16</v>
      </c>
      <c r="M133" s="4">
        <v>14</v>
      </c>
      <c r="N133" s="4">
        <v>20</v>
      </c>
      <c r="O133" s="4">
        <v>10</v>
      </c>
      <c r="P133" s="4">
        <v>13</v>
      </c>
    </row>
    <row r="134" spans="1:16">
      <c r="A134" s="46">
        <v>10</v>
      </c>
      <c r="B134" s="2" t="s">
        <v>109</v>
      </c>
      <c r="C134" s="2" t="s">
        <v>54</v>
      </c>
      <c r="D134" s="4">
        <v>8</v>
      </c>
      <c r="E134" s="4">
        <v>50</v>
      </c>
      <c r="F134" s="4">
        <v>34</v>
      </c>
      <c r="G134" s="4">
        <v>23</v>
      </c>
      <c r="H134" s="4">
        <v>17</v>
      </c>
      <c r="I134" s="4">
        <v>16</v>
      </c>
      <c r="J134" s="4">
        <v>24</v>
      </c>
      <c r="K134" s="4">
        <v>28</v>
      </c>
      <c r="L134" s="4">
        <v>34</v>
      </c>
      <c r="M134" s="4">
        <v>35</v>
      </c>
      <c r="N134" s="4">
        <v>34</v>
      </c>
      <c r="O134" s="4">
        <v>15</v>
      </c>
      <c r="P134" s="4">
        <v>20</v>
      </c>
    </row>
    <row r="135" spans="1:16">
      <c r="A135" s="46">
        <v>10</v>
      </c>
      <c r="B135" s="2" t="s">
        <v>109</v>
      </c>
      <c r="C135" s="2" t="s">
        <v>82</v>
      </c>
      <c r="D135" s="4">
        <v>16</v>
      </c>
      <c r="E135" s="4">
        <v>24</v>
      </c>
      <c r="F135" s="4">
        <v>24</v>
      </c>
      <c r="G135" s="4">
        <v>13</v>
      </c>
      <c r="H135" s="4">
        <v>6</v>
      </c>
      <c r="I135" s="4">
        <v>19</v>
      </c>
      <c r="J135" s="4">
        <v>28</v>
      </c>
      <c r="K135" s="4">
        <v>49</v>
      </c>
      <c r="L135" s="4">
        <v>18</v>
      </c>
      <c r="M135" s="4">
        <v>22</v>
      </c>
      <c r="N135" s="4">
        <v>21</v>
      </c>
      <c r="O135" s="4">
        <v>19</v>
      </c>
      <c r="P135" s="4">
        <v>11</v>
      </c>
    </row>
    <row r="136" spans="1:16">
      <c r="A136" s="46">
        <v>10</v>
      </c>
      <c r="B136" s="2" t="s">
        <v>109</v>
      </c>
      <c r="C136" s="2" t="s">
        <v>84</v>
      </c>
      <c r="D136" s="4">
        <v>4</v>
      </c>
      <c r="E136" s="4">
        <v>22</v>
      </c>
      <c r="F136" s="4">
        <v>2</v>
      </c>
      <c r="G136" s="4">
        <v>14</v>
      </c>
      <c r="H136" s="4">
        <v>13</v>
      </c>
      <c r="I136" s="4">
        <v>10</v>
      </c>
      <c r="J136" s="4">
        <v>12</v>
      </c>
      <c r="K136" s="4">
        <v>6</v>
      </c>
      <c r="L136" s="4">
        <v>10</v>
      </c>
      <c r="M136" s="4">
        <v>0</v>
      </c>
      <c r="N136" s="4">
        <v>10</v>
      </c>
      <c r="O136" s="4">
        <v>48</v>
      </c>
      <c r="P136" s="4">
        <v>13</v>
      </c>
    </row>
    <row r="137" spans="1:16">
      <c r="A137" s="46">
        <v>10</v>
      </c>
      <c r="B137" s="2" t="s">
        <v>109</v>
      </c>
      <c r="C137" s="2" t="s">
        <v>86</v>
      </c>
      <c r="D137" s="4">
        <v>15</v>
      </c>
      <c r="E137" s="4">
        <v>15</v>
      </c>
      <c r="F137" s="4">
        <v>6</v>
      </c>
      <c r="G137" s="4">
        <v>17</v>
      </c>
      <c r="H137" s="4">
        <v>15</v>
      </c>
      <c r="I137" s="4">
        <v>30</v>
      </c>
      <c r="J137" s="4">
        <v>46</v>
      </c>
      <c r="K137" s="4">
        <v>24</v>
      </c>
      <c r="L137" s="4">
        <v>47</v>
      </c>
      <c r="M137" s="4">
        <v>17</v>
      </c>
      <c r="N137" s="4">
        <v>24</v>
      </c>
      <c r="O137" s="4">
        <v>7</v>
      </c>
      <c r="P137" s="4">
        <v>32</v>
      </c>
    </row>
    <row r="138" spans="1:16">
      <c r="A138" s="46">
        <v>10</v>
      </c>
      <c r="B138" s="2" t="s">
        <v>109</v>
      </c>
      <c r="C138" s="2" t="s">
        <v>214</v>
      </c>
      <c r="D138" s="4">
        <v>10</v>
      </c>
      <c r="E138" s="4">
        <v>13</v>
      </c>
      <c r="F138" s="4">
        <v>2</v>
      </c>
      <c r="G138" s="4">
        <v>4</v>
      </c>
      <c r="H138" s="4">
        <v>0</v>
      </c>
      <c r="I138" s="3"/>
      <c r="J138" s="4">
        <v>11</v>
      </c>
      <c r="K138" s="4">
        <v>10</v>
      </c>
      <c r="L138" s="4">
        <v>4</v>
      </c>
      <c r="M138" s="4">
        <v>12</v>
      </c>
      <c r="N138" s="3"/>
      <c r="O138" s="4">
        <v>7</v>
      </c>
      <c r="P138" s="4">
        <v>6</v>
      </c>
    </row>
    <row r="139" spans="1:16">
      <c r="A139" s="46">
        <v>11</v>
      </c>
      <c r="B139" s="2" t="s">
        <v>111</v>
      </c>
      <c r="C139" s="2" t="s">
        <v>210</v>
      </c>
      <c r="D139" s="4">
        <v>20</v>
      </c>
      <c r="E139" s="4">
        <v>15</v>
      </c>
      <c r="F139" s="4">
        <v>36</v>
      </c>
      <c r="G139" s="4">
        <v>38</v>
      </c>
      <c r="H139" s="4">
        <v>8</v>
      </c>
      <c r="I139" s="4">
        <v>16</v>
      </c>
      <c r="J139" s="4">
        <v>16</v>
      </c>
      <c r="K139" s="4">
        <v>18</v>
      </c>
      <c r="L139" s="4">
        <v>3</v>
      </c>
      <c r="M139" s="4">
        <v>14</v>
      </c>
      <c r="N139" s="4">
        <v>9</v>
      </c>
      <c r="O139" s="4">
        <v>19</v>
      </c>
      <c r="P139" s="4">
        <v>8</v>
      </c>
    </row>
    <row r="140" spans="1:16">
      <c r="A140" s="46">
        <v>11</v>
      </c>
      <c r="B140" s="2" t="s">
        <v>111</v>
      </c>
      <c r="C140" s="2" t="s">
        <v>211</v>
      </c>
      <c r="D140" s="4">
        <v>2</v>
      </c>
      <c r="E140" s="4">
        <v>8</v>
      </c>
      <c r="F140" s="4">
        <v>1</v>
      </c>
      <c r="G140" s="4">
        <v>56</v>
      </c>
      <c r="H140" s="4">
        <v>2</v>
      </c>
      <c r="I140" s="4">
        <v>10</v>
      </c>
      <c r="J140" s="4">
        <v>12</v>
      </c>
      <c r="K140" s="4">
        <v>32</v>
      </c>
      <c r="L140" s="4">
        <v>3</v>
      </c>
      <c r="M140" s="4">
        <v>21</v>
      </c>
      <c r="N140" s="4">
        <v>24</v>
      </c>
      <c r="O140" s="4">
        <v>4</v>
      </c>
      <c r="P140" s="4">
        <v>13</v>
      </c>
    </row>
    <row r="141" spans="1:16">
      <c r="A141" s="46">
        <v>11</v>
      </c>
      <c r="B141" s="2" t="s">
        <v>111</v>
      </c>
      <c r="C141" s="2" t="s">
        <v>65</v>
      </c>
      <c r="D141" s="4">
        <v>22</v>
      </c>
      <c r="E141" s="4">
        <v>41</v>
      </c>
      <c r="F141" s="4">
        <v>33</v>
      </c>
      <c r="G141" s="4">
        <v>79</v>
      </c>
      <c r="H141" s="4">
        <v>14</v>
      </c>
      <c r="I141" s="4">
        <v>40</v>
      </c>
      <c r="J141" s="4">
        <v>37</v>
      </c>
      <c r="K141" s="4">
        <v>48</v>
      </c>
      <c r="L141" s="4">
        <v>39</v>
      </c>
      <c r="M141" s="4">
        <v>29</v>
      </c>
      <c r="N141" s="4">
        <v>64</v>
      </c>
      <c r="O141" s="4">
        <v>51</v>
      </c>
      <c r="P141" s="4">
        <v>49</v>
      </c>
    </row>
    <row r="142" spans="1:16">
      <c r="A142" s="46">
        <v>11</v>
      </c>
      <c r="B142" s="2" t="s">
        <v>111</v>
      </c>
      <c r="C142" s="2" t="s">
        <v>67</v>
      </c>
      <c r="D142" s="4">
        <v>40</v>
      </c>
      <c r="E142" s="4">
        <v>8</v>
      </c>
      <c r="F142" s="4">
        <v>59</v>
      </c>
      <c r="G142" s="4">
        <v>85</v>
      </c>
      <c r="H142" s="4">
        <v>58</v>
      </c>
      <c r="I142" s="4">
        <v>65</v>
      </c>
      <c r="J142" s="4">
        <v>76</v>
      </c>
      <c r="K142" s="4">
        <v>45</v>
      </c>
      <c r="L142" s="4">
        <v>34</v>
      </c>
      <c r="M142" s="4">
        <v>40</v>
      </c>
      <c r="N142" s="4">
        <v>44</v>
      </c>
      <c r="O142" s="4">
        <v>83</v>
      </c>
      <c r="P142" s="4">
        <v>62</v>
      </c>
    </row>
    <row r="143" spans="1:16">
      <c r="A143" s="46">
        <v>11</v>
      </c>
      <c r="B143" s="2" t="s">
        <v>111</v>
      </c>
      <c r="C143" s="2" t="s">
        <v>69</v>
      </c>
      <c r="D143" s="4">
        <v>14</v>
      </c>
      <c r="E143" s="4">
        <v>6</v>
      </c>
      <c r="F143" s="4">
        <v>10</v>
      </c>
      <c r="G143" s="4">
        <v>14</v>
      </c>
      <c r="H143" s="4">
        <v>0</v>
      </c>
      <c r="I143" s="4">
        <v>14</v>
      </c>
      <c r="J143" s="4">
        <v>0</v>
      </c>
      <c r="K143" s="4">
        <v>10</v>
      </c>
      <c r="L143" s="4">
        <v>8</v>
      </c>
      <c r="M143" s="4">
        <v>15</v>
      </c>
      <c r="N143" s="4">
        <v>14</v>
      </c>
      <c r="O143" s="4">
        <v>10</v>
      </c>
      <c r="P143" s="4">
        <v>6</v>
      </c>
    </row>
    <row r="144" spans="1:16">
      <c r="A144" s="46">
        <v>11</v>
      </c>
      <c r="B144" s="2" t="s">
        <v>111</v>
      </c>
      <c r="C144" s="2" t="s">
        <v>212</v>
      </c>
      <c r="D144" s="4">
        <v>6</v>
      </c>
      <c r="E144" s="4"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46">
        <v>11</v>
      </c>
      <c r="B145" s="2" t="s">
        <v>111</v>
      </c>
      <c r="C145" s="2" t="s">
        <v>73</v>
      </c>
      <c r="D145" s="4">
        <v>6</v>
      </c>
      <c r="E145" s="4">
        <v>12</v>
      </c>
      <c r="F145" s="4">
        <v>19</v>
      </c>
      <c r="G145" s="4">
        <v>22</v>
      </c>
      <c r="H145" s="4">
        <v>17</v>
      </c>
      <c r="I145" s="4">
        <v>36</v>
      </c>
      <c r="J145" s="4">
        <v>25</v>
      </c>
      <c r="K145" s="4">
        <v>11</v>
      </c>
      <c r="L145" s="4">
        <v>21</v>
      </c>
      <c r="M145" s="4">
        <v>20</v>
      </c>
      <c r="N145" s="4">
        <v>22</v>
      </c>
      <c r="O145" s="4">
        <v>20</v>
      </c>
      <c r="P145" s="4">
        <v>10</v>
      </c>
    </row>
    <row r="146" spans="1:16">
      <c r="A146" s="46">
        <v>11</v>
      </c>
      <c r="B146" s="2" t="s">
        <v>111</v>
      </c>
      <c r="C146" s="2" t="s">
        <v>213</v>
      </c>
      <c r="D146" s="3"/>
      <c r="E146" s="3"/>
      <c r="F146" s="4">
        <v>7</v>
      </c>
      <c r="G146" s="4">
        <v>4</v>
      </c>
      <c r="H146" s="4">
        <v>6</v>
      </c>
      <c r="I146" s="4">
        <v>4</v>
      </c>
      <c r="J146" s="4">
        <v>0</v>
      </c>
      <c r="K146" s="4">
        <v>12</v>
      </c>
      <c r="L146" s="4">
        <v>0</v>
      </c>
      <c r="M146" s="4">
        <v>7</v>
      </c>
      <c r="N146" s="4">
        <v>12</v>
      </c>
      <c r="O146" s="4">
        <v>8</v>
      </c>
      <c r="P146" s="4">
        <v>4</v>
      </c>
    </row>
    <row r="147" spans="1:16">
      <c r="A147" s="46">
        <v>11</v>
      </c>
      <c r="B147" s="2" t="s">
        <v>111</v>
      </c>
      <c r="C147" s="2" t="s">
        <v>77</v>
      </c>
      <c r="D147" s="4">
        <v>35</v>
      </c>
      <c r="E147" s="4">
        <v>18</v>
      </c>
      <c r="F147" s="4">
        <v>28</v>
      </c>
      <c r="G147" s="4">
        <v>56</v>
      </c>
      <c r="H147" s="4">
        <v>14</v>
      </c>
      <c r="I147" s="4">
        <v>39</v>
      </c>
      <c r="J147" s="4">
        <v>6</v>
      </c>
      <c r="K147" s="4">
        <v>32</v>
      </c>
      <c r="L147" s="4">
        <v>4</v>
      </c>
      <c r="M147" s="4">
        <v>20</v>
      </c>
      <c r="N147" s="4">
        <v>30</v>
      </c>
      <c r="O147" s="4">
        <v>26</v>
      </c>
      <c r="P147" s="4">
        <v>24</v>
      </c>
    </row>
    <row r="148" spans="1:16">
      <c r="A148" s="46">
        <v>11</v>
      </c>
      <c r="B148" s="2" t="s">
        <v>111</v>
      </c>
      <c r="C148" s="2" t="s">
        <v>79</v>
      </c>
      <c r="D148" s="4">
        <v>2</v>
      </c>
      <c r="E148" s="4">
        <v>15</v>
      </c>
      <c r="F148" s="4">
        <v>18</v>
      </c>
      <c r="G148" s="4">
        <v>0</v>
      </c>
      <c r="H148" s="4">
        <v>4</v>
      </c>
      <c r="I148" s="4">
        <v>4</v>
      </c>
      <c r="J148" s="4">
        <v>9</v>
      </c>
      <c r="K148" s="4">
        <v>4</v>
      </c>
      <c r="L148" s="4">
        <v>6</v>
      </c>
      <c r="M148" s="4">
        <v>0</v>
      </c>
      <c r="N148" s="4">
        <v>10</v>
      </c>
      <c r="O148" s="4">
        <v>4</v>
      </c>
      <c r="P148" s="4">
        <v>0</v>
      </c>
    </row>
    <row r="149" spans="1:16">
      <c r="A149" s="46">
        <v>11</v>
      </c>
      <c r="B149" s="2" t="s">
        <v>111</v>
      </c>
      <c r="C149" s="2" t="s">
        <v>54</v>
      </c>
      <c r="D149" s="4">
        <v>4</v>
      </c>
      <c r="E149" s="4">
        <v>14</v>
      </c>
      <c r="F149" s="4">
        <v>4</v>
      </c>
      <c r="G149" s="4">
        <v>48</v>
      </c>
      <c r="H149" s="4">
        <v>3</v>
      </c>
      <c r="I149" s="4">
        <v>4</v>
      </c>
      <c r="J149" s="4">
        <v>4</v>
      </c>
      <c r="K149" s="4">
        <v>10</v>
      </c>
      <c r="L149" s="4">
        <v>0</v>
      </c>
      <c r="M149" s="4">
        <v>8</v>
      </c>
      <c r="N149" s="4">
        <v>14</v>
      </c>
      <c r="O149" s="4">
        <v>40</v>
      </c>
      <c r="P149" s="4">
        <v>18</v>
      </c>
    </row>
    <row r="150" spans="1:16">
      <c r="A150" s="46">
        <v>11</v>
      </c>
      <c r="B150" s="2" t="s">
        <v>111</v>
      </c>
      <c r="C150" s="2" t="s">
        <v>82</v>
      </c>
      <c r="D150" s="4">
        <v>2</v>
      </c>
      <c r="E150" s="4">
        <v>0</v>
      </c>
      <c r="F150" s="4">
        <v>14</v>
      </c>
      <c r="G150" s="4">
        <v>12</v>
      </c>
      <c r="H150" s="4">
        <v>6</v>
      </c>
      <c r="I150" s="4">
        <v>0</v>
      </c>
      <c r="J150" s="4">
        <v>12</v>
      </c>
      <c r="K150" s="4">
        <v>22</v>
      </c>
      <c r="L150" s="4">
        <v>4</v>
      </c>
      <c r="M150" s="4">
        <v>39</v>
      </c>
      <c r="N150" s="4">
        <v>34</v>
      </c>
      <c r="O150" s="4">
        <v>40</v>
      </c>
      <c r="P150" s="4">
        <v>7</v>
      </c>
    </row>
    <row r="151" spans="1:16">
      <c r="A151" s="46">
        <v>11</v>
      </c>
      <c r="B151" s="2" t="s">
        <v>111</v>
      </c>
      <c r="C151" s="2" t="s">
        <v>84</v>
      </c>
      <c r="D151" s="3"/>
      <c r="E151" s="4">
        <v>2</v>
      </c>
      <c r="F151" s="4">
        <v>6</v>
      </c>
      <c r="G151" s="4">
        <v>0</v>
      </c>
      <c r="H151" s="3"/>
      <c r="I151" s="4">
        <v>2</v>
      </c>
      <c r="J151" s="4">
        <v>7</v>
      </c>
      <c r="K151" s="4">
        <v>0</v>
      </c>
      <c r="L151" s="4">
        <v>4</v>
      </c>
      <c r="M151" s="4">
        <v>4</v>
      </c>
      <c r="N151" s="4">
        <v>0</v>
      </c>
      <c r="O151" s="4">
        <v>8</v>
      </c>
      <c r="P151" s="4">
        <v>2</v>
      </c>
    </row>
    <row r="152" spans="1:16">
      <c r="A152" s="46">
        <v>11</v>
      </c>
      <c r="B152" s="2" t="s">
        <v>111</v>
      </c>
      <c r="C152" s="2" t="s">
        <v>86</v>
      </c>
      <c r="D152" s="4">
        <v>8</v>
      </c>
      <c r="E152" s="4">
        <v>7</v>
      </c>
      <c r="F152" s="4">
        <v>14</v>
      </c>
      <c r="G152" s="4">
        <v>26</v>
      </c>
      <c r="H152" s="4">
        <v>29</v>
      </c>
      <c r="I152" s="4">
        <v>5</v>
      </c>
      <c r="J152" s="4">
        <v>23</v>
      </c>
      <c r="K152" s="4">
        <v>20</v>
      </c>
      <c r="L152" s="4">
        <v>33</v>
      </c>
      <c r="M152" s="4">
        <v>14</v>
      </c>
      <c r="N152" s="4">
        <v>29</v>
      </c>
      <c r="O152" s="4">
        <v>19</v>
      </c>
      <c r="P152" s="4">
        <v>41</v>
      </c>
    </row>
    <row r="153" spans="1:16">
      <c r="A153" s="46">
        <v>11</v>
      </c>
      <c r="B153" s="2" t="s">
        <v>111</v>
      </c>
      <c r="C153" s="2" t="s">
        <v>214</v>
      </c>
      <c r="D153" s="4">
        <v>4</v>
      </c>
      <c r="E153" s="4">
        <v>4</v>
      </c>
      <c r="F153" s="4">
        <v>9</v>
      </c>
      <c r="G153" s="4">
        <v>4</v>
      </c>
      <c r="H153" s="4">
        <v>12</v>
      </c>
      <c r="I153" s="4">
        <v>2</v>
      </c>
      <c r="J153" s="4">
        <v>2</v>
      </c>
      <c r="K153" s="4">
        <v>0</v>
      </c>
      <c r="L153" s="4">
        <v>4</v>
      </c>
      <c r="M153" s="4">
        <v>5</v>
      </c>
      <c r="N153" s="4">
        <v>1</v>
      </c>
      <c r="O153" s="4">
        <v>0</v>
      </c>
      <c r="P153" s="4">
        <v>8</v>
      </c>
    </row>
    <row r="154" spans="1:16">
      <c r="A154" s="46">
        <v>12</v>
      </c>
      <c r="B154" s="2" t="s">
        <v>113</v>
      </c>
      <c r="C154" s="2" t="s">
        <v>210</v>
      </c>
      <c r="D154" s="4">
        <v>192</v>
      </c>
      <c r="E154" s="4">
        <v>194</v>
      </c>
      <c r="F154" s="4">
        <v>128</v>
      </c>
      <c r="G154" s="4">
        <v>428</v>
      </c>
      <c r="H154" s="4">
        <v>78</v>
      </c>
      <c r="I154" s="4">
        <v>320</v>
      </c>
      <c r="J154" s="4">
        <v>163</v>
      </c>
      <c r="K154" s="4">
        <v>111</v>
      </c>
      <c r="L154" s="4">
        <v>43</v>
      </c>
      <c r="M154" s="4">
        <v>388</v>
      </c>
      <c r="N154" s="4">
        <v>127</v>
      </c>
      <c r="O154" s="4">
        <v>89</v>
      </c>
      <c r="P154" s="4">
        <v>144</v>
      </c>
    </row>
    <row r="155" spans="1:16">
      <c r="A155" s="46">
        <v>12</v>
      </c>
      <c r="B155" s="2" t="s">
        <v>113</v>
      </c>
      <c r="C155" s="2" t="s">
        <v>211</v>
      </c>
      <c r="D155" s="4">
        <v>155</v>
      </c>
      <c r="E155" s="4">
        <v>672</v>
      </c>
      <c r="F155" s="4">
        <v>443</v>
      </c>
      <c r="G155" s="4">
        <v>656</v>
      </c>
      <c r="H155" s="4">
        <v>194</v>
      </c>
      <c r="I155" s="4">
        <v>244</v>
      </c>
      <c r="J155" s="4">
        <v>341</v>
      </c>
      <c r="K155" s="4">
        <v>168</v>
      </c>
      <c r="L155" s="4">
        <v>231</v>
      </c>
      <c r="M155" s="4">
        <v>437</v>
      </c>
      <c r="N155" s="4">
        <v>348</v>
      </c>
      <c r="O155" s="4">
        <v>352</v>
      </c>
      <c r="P155" s="4">
        <v>220</v>
      </c>
    </row>
    <row r="156" spans="1:16">
      <c r="A156" s="46">
        <v>12</v>
      </c>
      <c r="B156" s="2" t="s">
        <v>113</v>
      </c>
      <c r="C156" s="2" t="s">
        <v>65</v>
      </c>
      <c r="D156" s="4">
        <v>3</v>
      </c>
      <c r="E156" s="4">
        <v>139</v>
      </c>
      <c r="F156" s="4">
        <v>-61</v>
      </c>
      <c r="G156" s="4">
        <v>238</v>
      </c>
      <c r="H156" s="4">
        <v>196</v>
      </c>
      <c r="I156" s="4">
        <v>448</v>
      </c>
      <c r="J156" s="4">
        <v>267</v>
      </c>
      <c r="K156" s="4">
        <v>342</v>
      </c>
      <c r="L156" s="4">
        <v>172</v>
      </c>
      <c r="M156" s="4">
        <v>258</v>
      </c>
      <c r="N156" s="4">
        <v>179</v>
      </c>
      <c r="O156" s="4">
        <v>281</v>
      </c>
      <c r="P156" s="4">
        <v>406</v>
      </c>
    </row>
    <row r="157" spans="1:16">
      <c r="A157" s="46">
        <v>12</v>
      </c>
      <c r="B157" s="2" t="s">
        <v>113</v>
      </c>
      <c r="C157" s="2" t="s">
        <v>67</v>
      </c>
      <c r="D157" s="4">
        <v>443</v>
      </c>
      <c r="E157" s="4">
        <v>916</v>
      </c>
      <c r="F157" s="4">
        <v>703</v>
      </c>
      <c r="G157" s="4">
        <v>544</v>
      </c>
      <c r="H157" s="4">
        <v>1104</v>
      </c>
      <c r="I157" s="4">
        <v>422</v>
      </c>
      <c r="J157" s="4">
        <v>595</v>
      </c>
      <c r="K157" s="4">
        <v>1423</v>
      </c>
      <c r="L157" s="4">
        <v>381</v>
      </c>
      <c r="M157" s="4">
        <v>388</v>
      </c>
      <c r="N157" s="4">
        <v>553</v>
      </c>
      <c r="O157" s="4">
        <v>463</v>
      </c>
      <c r="P157" s="4">
        <v>427</v>
      </c>
    </row>
    <row r="158" spans="1:16">
      <c r="A158" s="46">
        <v>12</v>
      </c>
      <c r="B158" s="2" t="s">
        <v>113</v>
      </c>
      <c r="C158" s="2" t="s">
        <v>69</v>
      </c>
      <c r="D158" s="4">
        <v>19</v>
      </c>
      <c r="E158" s="4">
        <v>31</v>
      </c>
      <c r="F158" s="4">
        <v>18</v>
      </c>
      <c r="G158" s="4">
        <v>44</v>
      </c>
      <c r="H158" s="4">
        <v>14</v>
      </c>
      <c r="I158" s="4">
        <v>53</v>
      </c>
      <c r="J158" s="4">
        <v>32</v>
      </c>
      <c r="K158" s="4">
        <v>108</v>
      </c>
      <c r="L158" s="4">
        <v>31</v>
      </c>
      <c r="M158" s="4">
        <v>25</v>
      </c>
      <c r="N158" s="4">
        <v>66</v>
      </c>
      <c r="O158" s="4">
        <v>9</v>
      </c>
      <c r="P158" s="4">
        <v>5</v>
      </c>
    </row>
    <row r="159" spans="1:16">
      <c r="A159" s="46">
        <v>12</v>
      </c>
      <c r="B159" s="2" t="s">
        <v>113</v>
      </c>
      <c r="C159" s="2" t="s">
        <v>212</v>
      </c>
      <c r="D159" s="4">
        <v>21</v>
      </c>
      <c r="E159" s="4">
        <v>27</v>
      </c>
      <c r="F159" s="4">
        <v>66</v>
      </c>
      <c r="G159" s="4">
        <v>50</v>
      </c>
      <c r="H159" s="4">
        <v>8</v>
      </c>
      <c r="I159" s="4">
        <v>38</v>
      </c>
      <c r="J159" s="4">
        <v>94</v>
      </c>
      <c r="K159" s="4">
        <v>2</v>
      </c>
      <c r="L159" s="4">
        <v>14</v>
      </c>
      <c r="M159" s="4">
        <v>207</v>
      </c>
      <c r="N159" s="4">
        <v>27</v>
      </c>
      <c r="O159" s="4">
        <v>2</v>
      </c>
      <c r="P159" s="4">
        <v>20</v>
      </c>
    </row>
    <row r="160" spans="1:16">
      <c r="A160" s="46">
        <v>12</v>
      </c>
      <c r="B160" s="2" t="s">
        <v>113</v>
      </c>
      <c r="C160" s="2" t="s">
        <v>73</v>
      </c>
      <c r="D160" s="4">
        <v>1524</v>
      </c>
      <c r="E160" s="4">
        <v>828</v>
      </c>
      <c r="F160" s="4">
        <v>1908</v>
      </c>
      <c r="G160" s="4">
        <v>1587</v>
      </c>
      <c r="H160" s="4">
        <v>1494</v>
      </c>
      <c r="I160" s="4">
        <v>1519</v>
      </c>
      <c r="J160" s="4">
        <v>1199</v>
      </c>
      <c r="K160" s="4">
        <v>2006</v>
      </c>
      <c r="L160" s="4">
        <v>1430</v>
      </c>
      <c r="M160" s="4">
        <v>1567</v>
      </c>
      <c r="N160" s="4">
        <v>927</v>
      </c>
      <c r="O160" s="4">
        <v>1150</v>
      </c>
      <c r="P160" s="4">
        <v>1751</v>
      </c>
    </row>
    <row r="161" spans="1:16">
      <c r="A161" s="46">
        <v>12</v>
      </c>
      <c r="B161" s="2" t="s">
        <v>113</v>
      </c>
      <c r="C161" s="2" t="s">
        <v>213</v>
      </c>
      <c r="D161" s="4">
        <v>57</v>
      </c>
      <c r="E161" s="4">
        <v>14</v>
      </c>
      <c r="F161" s="4">
        <v>8</v>
      </c>
      <c r="G161" s="4">
        <v>23</v>
      </c>
      <c r="H161" s="4">
        <v>58</v>
      </c>
      <c r="I161" s="4">
        <v>74</v>
      </c>
      <c r="J161" s="4">
        <v>80</v>
      </c>
      <c r="K161" s="4">
        <v>38</v>
      </c>
      <c r="L161" s="4">
        <v>64</v>
      </c>
      <c r="M161" s="4">
        <v>1</v>
      </c>
      <c r="N161" s="4">
        <v>74</v>
      </c>
      <c r="O161" s="4">
        <v>5</v>
      </c>
      <c r="P161" s="4">
        <v>35</v>
      </c>
    </row>
    <row r="162" spans="1:16">
      <c r="A162" s="46">
        <v>12</v>
      </c>
      <c r="B162" s="2" t="s">
        <v>113</v>
      </c>
      <c r="C162" s="2" t="s">
        <v>77</v>
      </c>
      <c r="D162" s="4">
        <v>172</v>
      </c>
      <c r="E162" s="4">
        <v>288</v>
      </c>
      <c r="F162" s="4">
        <v>409</v>
      </c>
      <c r="G162" s="4">
        <v>473</v>
      </c>
      <c r="H162" s="4">
        <v>492</v>
      </c>
      <c r="I162" s="4">
        <v>613</v>
      </c>
      <c r="J162" s="4">
        <v>413</v>
      </c>
      <c r="K162" s="4">
        <v>215</v>
      </c>
      <c r="L162" s="4">
        <v>672</v>
      </c>
      <c r="M162" s="4">
        <v>327</v>
      </c>
      <c r="N162" s="4">
        <v>657</v>
      </c>
      <c r="O162" s="4">
        <v>400</v>
      </c>
      <c r="P162" s="4">
        <v>119</v>
      </c>
    </row>
    <row r="163" spans="1:16">
      <c r="A163" s="46">
        <v>12</v>
      </c>
      <c r="B163" s="2" t="s">
        <v>113</v>
      </c>
      <c r="C163" s="2" t="s">
        <v>79</v>
      </c>
      <c r="D163" s="4">
        <v>411</v>
      </c>
      <c r="E163" s="4">
        <v>10</v>
      </c>
      <c r="F163" s="4">
        <v>785</v>
      </c>
      <c r="G163" s="4">
        <v>86</v>
      </c>
      <c r="H163" s="4">
        <v>58</v>
      </c>
      <c r="I163" s="4">
        <v>49</v>
      </c>
      <c r="J163" s="4">
        <v>106</v>
      </c>
      <c r="K163" s="4">
        <v>84</v>
      </c>
      <c r="L163" s="4">
        <v>37</v>
      </c>
      <c r="M163" s="4">
        <v>95</v>
      </c>
      <c r="N163" s="4">
        <v>98</v>
      </c>
      <c r="O163" s="4">
        <v>150</v>
      </c>
      <c r="P163" s="4">
        <v>108</v>
      </c>
    </row>
    <row r="164" spans="1:16">
      <c r="A164" s="46">
        <v>12</v>
      </c>
      <c r="B164" s="2" t="s">
        <v>113</v>
      </c>
      <c r="C164" s="2" t="s">
        <v>54</v>
      </c>
      <c r="D164" s="4">
        <v>3</v>
      </c>
      <c r="E164" s="4">
        <v>7</v>
      </c>
      <c r="F164" s="4">
        <v>51</v>
      </c>
      <c r="G164" s="4">
        <v>16</v>
      </c>
      <c r="H164" s="4">
        <v>47</v>
      </c>
      <c r="I164" s="4">
        <v>85</v>
      </c>
      <c r="J164" s="4">
        <v>69</v>
      </c>
      <c r="K164" s="4">
        <v>18</v>
      </c>
      <c r="L164" s="4">
        <v>39</v>
      </c>
      <c r="M164" s="4">
        <v>30</v>
      </c>
      <c r="N164" s="4">
        <v>24</v>
      </c>
      <c r="O164" s="4">
        <v>12</v>
      </c>
      <c r="P164" s="4">
        <v>9</v>
      </c>
    </row>
    <row r="165" spans="1:16">
      <c r="A165" s="46">
        <v>12</v>
      </c>
      <c r="B165" s="2" t="s">
        <v>113</v>
      </c>
      <c r="C165" s="2" t="s">
        <v>82</v>
      </c>
      <c r="D165" s="4">
        <v>40</v>
      </c>
      <c r="E165" s="4">
        <v>25</v>
      </c>
      <c r="F165" s="4">
        <v>176</v>
      </c>
      <c r="G165" s="4">
        <v>241</v>
      </c>
      <c r="H165" s="4">
        <v>28</v>
      </c>
      <c r="I165" s="4">
        <v>16</v>
      </c>
      <c r="J165" s="4">
        <v>65</v>
      </c>
      <c r="K165" s="4">
        <v>72</v>
      </c>
      <c r="L165" s="4">
        <v>67</v>
      </c>
      <c r="M165" s="4">
        <v>339</v>
      </c>
      <c r="N165" s="4">
        <v>155</v>
      </c>
      <c r="O165" s="4">
        <v>84</v>
      </c>
      <c r="P165" s="4">
        <v>74</v>
      </c>
    </row>
    <row r="166" spans="1:16">
      <c r="A166" s="46">
        <v>12</v>
      </c>
      <c r="B166" s="2" t="s">
        <v>113</v>
      </c>
      <c r="C166" s="2" t="s">
        <v>84</v>
      </c>
      <c r="D166" s="4">
        <v>82</v>
      </c>
      <c r="E166" s="4">
        <v>144</v>
      </c>
      <c r="F166" s="4">
        <v>92</v>
      </c>
      <c r="G166" s="4">
        <v>46</v>
      </c>
      <c r="H166" s="4">
        <v>95</v>
      </c>
      <c r="I166" s="4">
        <v>255</v>
      </c>
      <c r="J166" s="4">
        <v>201</v>
      </c>
      <c r="K166" s="4">
        <v>120</v>
      </c>
      <c r="L166" s="4">
        <v>71</v>
      </c>
      <c r="M166" s="4">
        <v>112</v>
      </c>
      <c r="N166" s="4">
        <v>59</v>
      </c>
      <c r="O166" s="4">
        <v>241</v>
      </c>
      <c r="P166" s="4">
        <v>55</v>
      </c>
    </row>
    <row r="167" spans="1:16">
      <c r="A167" s="46">
        <v>12</v>
      </c>
      <c r="B167" s="2" t="s">
        <v>113</v>
      </c>
      <c r="C167" s="2" t="s">
        <v>86</v>
      </c>
      <c r="D167" s="4">
        <v>1673</v>
      </c>
      <c r="E167" s="4">
        <v>1313</v>
      </c>
      <c r="F167" s="4">
        <v>-627</v>
      </c>
      <c r="G167" s="4">
        <v>704</v>
      </c>
      <c r="H167" s="4">
        <v>830</v>
      </c>
      <c r="I167" s="4">
        <v>737</v>
      </c>
      <c r="J167" s="4">
        <v>610</v>
      </c>
      <c r="K167" s="4">
        <v>525</v>
      </c>
      <c r="L167" s="4">
        <v>730</v>
      </c>
      <c r="M167" s="4">
        <v>859</v>
      </c>
      <c r="N167" s="4">
        <v>1227</v>
      </c>
      <c r="O167" s="4">
        <v>807</v>
      </c>
      <c r="P167" s="4">
        <v>408</v>
      </c>
    </row>
    <row r="168" spans="1:16">
      <c r="A168" s="46">
        <v>12</v>
      </c>
      <c r="B168" s="2" t="s">
        <v>113</v>
      </c>
      <c r="C168" s="2" t="s">
        <v>214</v>
      </c>
      <c r="D168" s="4">
        <v>381</v>
      </c>
      <c r="E168" s="4">
        <v>81</v>
      </c>
      <c r="F168" s="4">
        <v>101</v>
      </c>
      <c r="G168" s="4">
        <v>209</v>
      </c>
      <c r="H168" s="4">
        <v>223</v>
      </c>
      <c r="I168" s="4">
        <v>160</v>
      </c>
      <c r="J168" s="4">
        <v>156</v>
      </c>
      <c r="K168" s="4">
        <v>156</v>
      </c>
      <c r="L168" s="4">
        <v>188</v>
      </c>
      <c r="M168" s="4">
        <v>131</v>
      </c>
      <c r="N168" s="4">
        <v>250</v>
      </c>
      <c r="O168" s="4">
        <v>311</v>
      </c>
      <c r="P168" s="4">
        <v>101</v>
      </c>
    </row>
    <row r="169" spans="1:16">
      <c r="A169" s="46">
        <v>13</v>
      </c>
      <c r="B169" s="2" t="s">
        <v>115</v>
      </c>
      <c r="C169" s="2" t="s">
        <v>210</v>
      </c>
      <c r="D169" s="4">
        <v>14</v>
      </c>
      <c r="E169" s="4">
        <v>74</v>
      </c>
      <c r="F169" s="4">
        <v>78</v>
      </c>
      <c r="G169" s="4">
        <v>37</v>
      </c>
      <c r="H169" s="4">
        <v>29</v>
      </c>
      <c r="I169" s="4">
        <v>113</v>
      </c>
      <c r="J169" s="4">
        <v>88</v>
      </c>
      <c r="K169" s="4">
        <v>39</v>
      </c>
      <c r="L169" s="4">
        <v>40</v>
      </c>
      <c r="M169" s="4">
        <v>52</v>
      </c>
      <c r="N169" s="4">
        <v>40</v>
      </c>
      <c r="O169" s="4">
        <v>89</v>
      </c>
      <c r="P169" s="4">
        <v>26</v>
      </c>
    </row>
    <row r="170" spans="1:16">
      <c r="A170" s="46">
        <v>13</v>
      </c>
      <c r="B170" s="2" t="s">
        <v>115</v>
      </c>
      <c r="C170" s="2" t="s">
        <v>211</v>
      </c>
      <c r="D170" s="4">
        <v>17</v>
      </c>
      <c r="E170" s="4">
        <v>20</v>
      </c>
      <c r="F170" s="4">
        <v>31</v>
      </c>
      <c r="G170" s="4">
        <v>13</v>
      </c>
      <c r="H170" s="4">
        <v>0</v>
      </c>
      <c r="I170" s="4">
        <v>9</v>
      </c>
      <c r="J170" s="4">
        <v>8</v>
      </c>
      <c r="K170" s="4">
        <v>13</v>
      </c>
      <c r="L170" s="4">
        <v>10</v>
      </c>
      <c r="M170" s="4">
        <v>5</v>
      </c>
      <c r="N170" s="4">
        <v>2</v>
      </c>
      <c r="O170" s="4">
        <v>7</v>
      </c>
      <c r="P170" s="4">
        <v>6</v>
      </c>
    </row>
    <row r="171" spans="1:16">
      <c r="A171" s="46">
        <v>13</v>
      </c>
      <c r="B171" s="2" t="s">
        <v>115</v>
      </c>
      <c r="C171" s="2" t="s">
        <v>65</v>
      </c>
      <c r="D171" s="4">
        <v>15</v>
      </c>
      <c r="E171" s="4">
        <v>30</v>
      </c>
      <c r="F171" s="4">
        <v>35</v>
      </c>
      <c r="G171" s="4">
        <v>45</v>
      </c>
      <c r="H171" s="4">
        <v>25</v>
      </c>
      <c r="I171" s="4">
        <v>23</v>
      </c>
      <c r="J171" s="4">
        <v>19</v>
      </c>
      <c r="K171" s="4">
        <v>51</v>
      </c>
      <c r="L171" s="4">
        <v>32</v>
      </c>
      <c r="M171" s="4">
        <v>29</v>
      </c>
      <c r="N171" s="4">
        <v>51</v>
      </c>
      <c r="O171" s="4">
        <v>43</v>
      </c>
      <c r="P171" s="4">
        <v>18</v>
      </c>
    </row>
    <row r="172" spans="1:16">
      <c r="A172" s="46">
        <v>13</v>
      </c>
      <c r="B172" s="2" t="s">
        <v>115</v>
      </c>
      <c r="C172" s="2" t="s">
        <v>67</v>
      </c>
      <c r="D172" s="4">
        <v>67</v>
      </c>
      <c r="E172" s="4">
        <v>65</v>
      </c>
      <c r="F172" s="4">
        <v>110</v>
      </c>
      <c r="G172" s="4">
        <v>87</v>
      </c>
      <c r="H172" s="4">
        <v>176</v>
      </c>
      <c r="I172" s="4">
        <v>79</v>
      </c>
      <c r="J172" s="4">
        <v>104</v>
      </c>
      <c r="K172" s="4">
        <v>88</v>
      </c>
      <c r="L172" s="4">
        <v>120</v>
      </c>
      <c r="M172" s="4">
        <v>69</v>
      </c>
      <c r="N172" s="4">
        <v>86</v>
      </c>
      <c r="O172" s="4">
        <v>130</v>
      </c>
      <c r="P172" s="4">
        <v>164</v>
      </c>
    </row>
    <row r="173" spans="1:16">
      <c r="A173" s="46">
        <v>13</v>
      </c>
      <c r="B173" s="2" t="s">
        <v>115</v>
      </c>
      <c r="C173" s="2" t="s">
        <v>69</v>
      </c>
      <c r="D173" s="4">
        <v>16</v>
      </c>
      <c r="E173" s="4">
        <v>10</v>
      </c>
      <c r="F173" s="4">
        <v>12</v>
      </c>
      <c r="G173" s="4">
        <v>12</v>
      </c>
      <c r="H173" s="4">
        <v>10</v>
      </c>
      <c r="I173" s="4">
        <v>18</v>
      </c>
      <c r="J173" s="4">
        <v>20</v>
      </c>
      <c r="K173" s="4">
        <v>38</v>
      </c>
      <c r="L173" s="4">
        <v>12</v>
      </c>
      <c r="M173" s="4">
        <v>22</v>
      </c>
      <c r="N173" s="4">
        <v>11</v>
      </c>
      <c r="O173" s="4">
        <v>28</v>
      </c>
      <c r="P173" s="4">
        <v>13</v>
      </c>
    </row>
    <row r="174" spans="1:16">
      <c r="A174" s="46">
        <v>13</v>
      </c>
      <c r="B174" s="2" t="s">
        <v>115</v>
      </c>
      <c r="C174" s="2" t="s">
        <v>212</v>
      </c>
      <c r="D174" s="4">
        <v>0</v>
      </c>
      <c r="E174" s="4">
        <v>8</v>
      </c>
      <c r="F174" s="4">
        <v>0</v>
      </c>
      <c r="G174" s="4">
        <v>2</v>
      </c>
      <c r="H174" s="4">
        <v>2</v>
      </c>
      <c r="I174" s="4">
        <v>17</v>
      </c>
      <c r="J174" s="3"/>
      <c r="K174" s="4">
        <v>0</v>
      </c>
      <c r="L174" s="3"/>
      <c r="M174" s="3"/>
      <c r="N174" s="4">
        <v>7</v>
      </c>
      <c r="O174" s="4">
        <v>6</v>
      </c>
      <c r="P174" s="4">
        <v>9</v>
      </c>
    </row>
    <row r="175" spans="1:16">
      <c r="A175" s="46">
        <v>13</v>
      </c>
      <c r="B175" s="2" t="s">
        <v>115</v>
      </c>
      <c r="C175" s="2" t="s">
        <v>73</v>
      </c>
      <c r="D175" s="4">
        <v>176</v>
      </c>
      <c r="E175" s="4">
        <v>76</v>
      </c>
      <c r="F175" s="4">
        <v>55</v>
      </c>
      <c r="G175" s="4">
        <v>60</v>
      </c>
      <c r="H175" s="4">
        <v>101</v>
      </c>
      <c r="I175" s="4">
        <v>32</v>
      </c>
      <c r="J175" s="4">
        <v>54</v>
      </c>
      <c r="K175" s="4">
        <v>90</v>
      </c>
      <c r="L175" s="4">
        <v>90</v>
      </c>
      <c r="M175" s="4">
        <v>70</v>
      </c>
      <c r="N175" s="4">
        <v>79</v>
      </c>
      <c r="O175" s="4">
        <v>102</v>
      </c>
      <c r="P175" s="4">
        <v>99</v>
      </c>
    </row>
    <row r="176" spans="1:16">
      <c r="A176" s="46">
        <v>13</v>
      </c>
      <c r="B176" s="2" t="s">
        <v>115</v>
      </c>
      <c r="C176" s="2" t="s">
        <v>213</v>
      </c>
      <c r="D176" s="4">
        <v>50</v>
      </c>
      <c r="E176" s="4">
        <v>6</v>
      </c>
      <c r="F176" s="4">
        <v>2</v>
      </c>
      <c r="G176" s="4">
        <v>10</v>
      </c>
      <c r="H176" s="4">
        <v>6</v>
      </c>
      <c r="I176" s="4">
        <v>14</v>
      </c>
      <c r="J176" s="4">
        <v>68</v>
      </c>
      <c r="K176" s="4">
        <v>6</v>
      </c>
      <c r="L176" s="4">
        <v>10</v>
      </c>
      <c r="M176" s="4">
        <v>27</v>
      </c>
      <c r="N176" s="4">
        <v>0</v>
      </c>
      <c r="O176" s="4">
        <v>41</v>
      </c>
      <c r="P176" s="4">
        <v>2</v>
      </c>
    </row>
    <row r="177" spans="1:16">
      <c r="A177" s="46">
        <v>13</v>
      </c>
      <c r="B177" s="2" t="s">
        <v>115</v>
      </c>
      <c r="C177" s="2" t="s">
        <v>77</v>
      </c>
      <c r="D177" s="4">
        <v>12</v>
      </c>
      <c r="E177" s="4">
        <v>40</v>
      </c>
      <c r="F177" s="4">
        <v>15</v>
      </c>
      <c r="G177" s="4">
        <v>109</v>
      </c>
      <c r="H177" s="4">
        <v>19</v>
      </c>
      <c r="I177" s="4">
        <v>40</v>
      </c>
      <c r="J177" s="4">
        <v>20</v>
      </c>
      <c r="K177" s="4">
        <v>19</v>
      </c>
      <c r="L177" s="4">
        <v>17</v>
      </c>
      <c r="M177" s="4">
        <v>46</v>
      </c>
      <c r="N177" s="4">
        <v>54</v>
      </c>
      <c r="O177" s="4">
        <v>41</v>
      </c>
      <c r="P177" s="4">
        <v>35</v>
      </c>
    </row>
    <row r="178" spans="1:16">
      <c r="A178" s="46">
        <v>13</v>
      </c>
      <c r="B178" s="2" t="s">
        <v>115</v>
      </c>
      <c r="C178" s="2" t="s">
        <v>79</v>
      </c>
      <c r="D178" s="4">
        <v>14</v>
      </c>
      <c r="E178" s="4">
        <v>43</v>
      </c>
      <c r="F178" s="4">
        <v>14</v>
      </c>
      <c r="G178" s="4">
        <v>32</v>
      </c>
      <c r="H178" s="4">
        <v>9</v>
      </c>
      <c r="I178" s="4">
        <v>16</v>
      </c>
      <c r="J178" s="4">
        <v>4</v>
      </c>
      <c r="K178" s="4">
        <v>27</v>
      </c>
      <c r="L178" s="4">
        <v>10</v>
      </c>
      <c r="M178" s="4">
        <v>42</v>
      </c>
      <c r="N178" s="4">
        <v>6</v>
      </c>
      <c r="O178" s="4">
        <v>13</v>
      </c>
      <c r="P178" s="4">
        <v>13</v>
      </c>
    </row>
    <row r="179" spans="1:16">
      <c r="A179" s="46">
        <v>13</v>
      </c>
      <c r="B179" s="2" t="s">
        <v>115</v>
      </c>
      <c r="C179" s="2" t="s">
        <v>54</v>
      </c>
      <c r="D179" s="4">
        <v>45</v>
      </c>
      <c r="E179" s="4">
        <v>18</v>
      </c>
      <c r="F179" s="4">
        <v>10</v>
      </c>
      <c r="G179" s="4">
        <v>53</v>
      </c>
      <c r="H179" s="4">
        <v>7</v>
      </c>
      <c r="I179" s="4">
        <v>18</v>
      </c>
      <c r="J179" s="4">
        <v>11</v>
      </c>
      <c r="K179" s="4">
        <v>5</v>
      </c>
      <c r="L179" s="4">
        <v>33</v>
      </c>
      <c r="M179" s="4">
        <v>8</v>
      </c>
      <c r="N179" s="4">
        <v>6</v>
      </c>
      <c r="O179" s="4">
        <v>15</v>
      </c>
      <c r="P179" s="4">
        <v>14</v>
      </c>
    </row>
    <row r="180" spans="1:16">
      <c r="A180" s="46">
        <v>13</v>
      </c>
      <c r="B180" s="2" t="s">
        <v>115</v>
      </c>
      <c r="C180" s="2" t="s">
        <v>82</v>
      </c>
      <c r="D180" s="4">
        <v>332</v>
      </c>
      <c r="E180" s="4">
        <v>8</v>
      </c>
      <c r="F180" s="4">
        <v>6</v>
      </c>
      <c r="G180" s="4">
        <v>12</v>
      </c>
      <c r="H180" s="4">
        <v>9</v>
      </c>
      <c r="I180" s="4">
        <v>107</v>
      </c>
      <c r="J180" s="4">
        <v>270</v>
      </c>
      <c r="K180" s="4">
        <v>274</v>
      </c>
      <c r="L180" s="4">
        <v>498</v>
      </c>
      <c r="M180" s="4">
        <v>159</v>
      </c>
      <c r="N180" s="4">
        <v>157</v>
      </c>
      <c r="O180" s="4">
        <v>76</v>
      </c>
      <c r="P180" s="4">
        <v>76</v>
      </c>
    </row>
    <row r="181" spans="1:16">
      <c r="A181" s="46">
        <v>13</v>
      </c>
      <c r="B181" s="2" t="s">
        <v>115</v>
      </c>
      <c r="C181" s="2" t="s">
        <v>84</v>
      </c>
      <c r="D181" s="4">
        <v>6</v>
      </c>
      <c r="E181" s="4">
        <v>1</v>
      </c>
      <c r="F181" s="4">
        <v>8</v>
      </c>
      <c r="G181" s="4">
        <v>5</v>
      </c>
      <c r="H181" s="4">
        <v>10</v>
      </c>
      <c r="I181" s="4">
        <v>4</v>
      </c>
      <c r="J181" s="4">
        <v>20</v>
      </c>
      <c r="K181" s="4">
        <v>36</v>
      </c>
      <c r="L181" s="4">
        <v>2</v>
      </c>
      <c r="M181" s="4">
        <v>2</v>
      </c>
      <c r="N181" s="4">
        <v>4</v>
      </c>
      <c r="O181" s="4">
        <v>30</v>
      </c>
      <c r="P181" s="4">
        <v>2</v>
      </c>
    </row>
    <row r="182" spans="1:16">
      <c r="A182" s="46">
        <v>13</v>
      </c>
      <c r="B182" s="2" t="s">
        <v>115</v>
      </c>
      <c r="C182" s="2" t="s">
        <v>86</v>
      </c>
      <c r="D182" s="4">
        <v>60</v>
      </c>
      <c r="E182" s="4">
        <v>97</v>
      </c>
      <c r="F182" s="4">
        <v>6</v>
      </c>
      <c r="G182" s="4">
        <v>45</v>
      </c>
      <c r="H182" s="4">
        <v>67</v>
      </c>
      <c r="I182" s="4">
        <v>36</v>
      </c>
      <c r="J182" s="4">
        <v>27</v>
      </c>
      <c r="K182" s="4">
        <v>17</v>
      </c>
      <c r="L182" s="4">
        <v>51</v>
      </c>
      <c r="M182" s="4">
        <v>106</v>
      </c>
      <c r="N182" s="4">
        <v>56</v>
      </c>
      <c r="O182" s="4">
        <v>92</v>
      </c>
      <c r="P182" s="4">
        <v>69</v>
      </c>
    </row>
    <row r="183" spans="1:16">
      <c r="A183" s="46">
        <v>13</v>
      </c>
      <c r="B183" s="2" t="s">
        <v>115</v>
      </c>
      <c r="C183" s="2" t="s">
        <v>214</v>
      </c>
      <c r="D183" s="4">
        <v>8</v>
      </c>
      <c r="E183" s="3"/>
      <c r="F183" s="4">
        <v>2</v>
      </c>
      <c r="G183" s="4">
        <v>6</v>
      </c>
      <c r="H183" s="4">
        <v>1</v>
      </c>
      <c r="I183" s="4">
        <v>0</v>
      </c>
      <c r="J183" s="4">
        <v>2</v>
      </c>
      <c r="K183" s="4">
        <v>10</v>
      </c>
      <c r="L183" s="4">
        <v>2</v>
      </c>
      <c r="M183" s="4">
        <v>8</v>
      </c>
      <c r="N183" s="4">
        <v>5</v>
      </c>
      <c r="O183" s="4">
        <v>5</v>
      </c>
      <c r="P183" s="3"/>
    </row>
    <row r="184" spans="1:16">
      <c r="A184" s="46">
        <v>14</v>
      </c>
      <c r="B184" s="2" t="s">
        <v>117</v>
      </c>
      <c r="C184" s="2" t="s">
        <v>210</v>
      </c>
      <c r="D184" s="3"/>
      <c r="E184" s="3"/>
      <c r="F184" s="3"/>
      <c r="G184" s="3"/>
      <c r="H184" s="3"/>
      <c r="I184" s="3"/>
      <c r="J184" s="4">
        <v>84</v>
      </c>
      <c r="K184" s="4">
        <v>150</v>
      </c>
      <c r="L184" s="4">
        <v>454</v>
      </c>
      <c r="M184" s="4">
        <v>356</v>
      </c>
      <c r="N184" s="4">
        <v>308</v>
      </c>
      <c r="O184" s="4">
        <v>918</v>
      </c>
      <c r="P184" s="4">
        <v>366</v>
      </c>
    </row>
    <row r="185" spans="1:16">
      <c r="A185" s="46">
        <v>14</v>
      </c>
      <c r="B185" s="2" t="s">
        <v>117</v>
      </c>
      <c r="C185" s="2" t="s">
        <v>211</v>
      </c>
      <c r="D185" s="3"/>
      <c r="E185" s="3"/>
      <c r="F185" s="3"/>
      <c r="G185" s="3"/>
      <c r="H185" s="3"/>
      <c r="I185" s="3"/>
      <c r="J185" s="4">
        <v>3</v>
      </c>
      <c r="K185" s="4">
        <v>55</v>
      </c>
      <c r="L185" s="4">
        <v>126</v>
      </c>
      <c r="M185" s="4">
        <v>795</v>
      </c>
      <c r="N185" s="4">
        <v>110</v>
      </c>
      <c r="O185" s="4">
        <v>255</v>
      </c>
      <c r="P185" s="4">
        <v>283</v>
      </c>
    </row>
    <row r="186" spans="1:16">
      <c r="A186" s="46">
        <v>14</v>
      </c>
      <c r="B186" s="2" t="s">
        <v>117</v>
      </c>
      <c r="C186" s="2" t="s">
        <v>65</v>
      </c>
      <c r="D186" s="3"/>
      <c r="E186" s="3"/>
      <c r="F186" s="3"/>
      <c r="G186" s="3"/>
      <c r="H186" s="3"/>
      <c r="I186" s="4">
        <v>60</v>
      </c>
      <c r="J186" s="4">
        <v>20</v>
      </c>
      <c r="K186" s="4">
        <v>465</v>
      </c>
      <c r="L186" s="4">
        <v>329</v>
      </c>
      <c r="M186" s="4">
        <v>196</v>
      </c>
      <c r="N186" s="4">
        <v>236</v>
      </c>
      <c r="O186" s="4">
        <v>318</v>
      </c>
      <c r="P186" s="4">
        <v>427</v>
      </c>
    </row>
    <row r="187" spans="1:16">
      <c r="A187" s="46">
        <v>14</v>
      </c>
      <c r="B187" s="2" t="s">
        <v>117</v>
      </c>
      <c r="C187" s="2" t="s">
        <v>67</v>
      </c>
      <c r="D187" s="3"/>
      <c r="E187" s="3"/>
      <c r="F187" s="3"/>
      <c r="G187" s="3"/>
      <c r="H187" s="3"/>
      <c r="I187" s="3"/>
      <c r="J187" s="4">
        <v>35</v>
      </c>
      <c r="K187" s="4">
        <v>172</v>
      </c>
      <c r="L187" s="4">
        <v>259</v>
      </c>
      <c r="M187" s="4">
        <v>508</v>
      </c>
      <c r="N187" s="4">
        <v>394</v>
      </c>
      <c r="O187" s="4">
        <v>916</v>
      </c>
      <c r="P187" s="4">
        <v>746</v>
      </c>
    </row>
    <row r="188" spans="1:16">
      <c r="A188" s="46">
        <v>14</v>
      </c>
      <c r="B188" s="2" t="s">
        <v>117</v>
      </c>
      <c r="C188" s="2" t="s">
        <v>69</v>
      </c>
      <c r="D188" s="3"/>
      <c r="E188" s="3"/>
      <c r="F188" s="3"/>
      <c r="G188" s="3"/>
      <c r="H188" s="3"/>
      <c r="I188" s="3"/>
      <c r="J188" s="4">
        <v>9</v>
      </c>
      <c r="K188" s="4">
        <v>105</v>
      </c>
      <c r="L188" s="4">
        <v>82</v>
      </c>
      <c r="M188" s="4">
        <v>198</v>
      </c>
      <c r="N188" s="4">
        <v>124</v>
      </c>
      <c r="O188" s="4">
        <v>173</v>
      </c>
      <c r="P188" s="4">
        <v>585</v>
      </c>
    </row>
    <row r="189" spans="1:16">
      <c r="A189" s="46">
        <v>14</v>
      </c>
      <c r="B189" s="2" t="s">
        <v>117</v>
      </c>
      <c r="C189" s="2" t="s">
        <v>212</v>
      </c>
      <c r="D189" s="3"/>
      <c r="E189" s="3"/>
      <c r="F189" s="3"/>
      <c r="G189" s="3"/>
      <c r="H189" s="3"/>
      <c r="I189" s="3"/>
      <c r="J189" s="3"/>
      <c r="K189" s="3"/>
      <c r="L189" s="4">
        <v>24</v>
      </c>
      <c r="M189" s="4">
        <v>2</v>
      </c>
      <c r="N189" s="4">
        <v>27</v>
      </c>
      <c r="O189" s="4">
        <v>1</v>
      </c>
      <c r="P189" s="3"/>
    </row>
    <row r="190" spans="1:16">
      <c r="A190" s="46">
        <v>14</v>
      </c>
      <c r="B190" s="2" t="s">
        <v>117</v>
      </c>
      <c r="C190" s="2" t="s">
        <v>73</v>
      </c>
      <c r="D190" s="3"/>
      <c r="E190" s="3"/>
      <c r="F190" s="3"/>
      <c r="G190" s="3"/>
      <c r="H190" s="3"/>
      <c r="I190" s="4">
        <v>0</v>
      </c>
      <c r="J190" s="4">
        <v>128</v>
      </c>
      <c r="K190" s="4">
        <v>302</v>
      </c>
      <c r="L190" s="4">
        <v>795</v>
      </c>
      <c r="M190" s="4">
        <v>1855</v>
      </c>
      <c r="N190" s="4">
        <v>796</v>
      </c>
      <c r="O190" s="4">
        <v>1895</v>
      </c>
      <c r="P190" s="4">
        <v>1573</v>
      </c>
    </row>
    <row r="191" spans="1:16">
      <c r="A191" s="46">
        <v>14</v>
      </c>
      <c r="B191" s="2" t="s">
        <v>117</v>
      </c>
      <c r="C191" s="2" t="s">
        <v>213</v>
      </c>
      <c r="D191" s="3"/>
      <c r="E191" s="3"/>
      <c r="F191" s="3"/>
      <c r="G191" s="3"/>
      <c r="H191" s="3"/>
      <c r="I191" s="3"/>
      <c r="J191" s="4">
        <v>5</v>
      </c>
      <c r="K191" s="4">
        <v>45</v>
      </c>
      <c r="L191" s="4">
        <v>57</v>
      </c>
      <c r="M191" s="4">
        <v>58</v>
      </c>
      <c r="N191" s="4">
        <v>16</v>
      </c>
      <c r="O191" s="4">
        <v>1218</v>
      </c>
      <c r="P191" s="4">
        <v>3</v>
      </c>
    </row>
    <row r="192" spans="1:16">
      <c r="A192" s="46">
        <v>14</v>
      </c>
      <c r="B192" s="2" t="s">
        <v>117</v>
      </c>
      <c r="C192" s="2" t="s">
        <v>77</v>
      </c>
      <c r="D192" s="3"/>
      <c r="E192" s="3"/>
      <c r="F192" s="3"/>
      <c r="G192" s="3"/>
      <c r="H192" s="3"/>
      <c r="I192" s="4">
        <v>8</v>
      </c>
      <c r="J192" s="4">
        <v>65</v>
      </c>
      <c r="K192" s="4">
        <v>76</v>
      </c>
      <c r="L192" s="4">
        <v>122</v>
      </c>
      <c r="M192" s="4">
        <v>216</v>
      </c>
      <c r="N192" s="4">
        <v>393</v>
      </c>
      <c r="O192" s="4">
        <v>203</v>
      </c>
      <c r="P192" s="4">
        <v>273</v>
      </c>
    </row>
    <row r="193" spans="1:16">
      <c r="A193" s="46">
        <v>14</v>
      </c>
      <c r="B193" s="2" t="s">
        <v>117</v>
      </c>
      <c r="C193" s="2" t="s">
        <v>79</v>
      </c>
      <c r="D193" s="3"/>
      <c r="E193" s="3"/>
      <c r="F193" s="3"/>
      <c r="G193" s="3"/>
      <c r="H193" s="3"/>
      <c r="I193" s="4">
        <v>21</v>
      </c>
      <c r="J193" s="4">
        <v>4</v>
      </c>
      <c r="K193" s="4">
        <v>14</v>
      </c>
      <c r="L193" s="4">
        <v>55</v>
      </c>
      <c r="M193" s="4">
        <v>144</v>
      </c>
      <c r="N193" s="4">
        <v>457</v>
      </c>
      <c r="O193" s="4">
        <v>294</v>
      </c>
      <c r="P193" s="4">
        <v>172</v>
      </c>
    </row>
    <row r="194" spans="1:16">
      <c r="A194" s="46">
        <v>14</v>
      </c>
      <c r="B194" s="2" t="s">
        <v>117</v>
      </c>
      <c r="C194" s="2" t="s">
        <v>54</v>
      </c>
      <c r="D194" s="3"/>
      <c r="E194" s="3"/>
      <c r="F194" s="3"/>
      <c r="G194" s="3"/>
      <c r="H194" s="3"/>
      <c r="I194" s="3"/>
      <c r="J194" s="4">
        <v>22</v>
      </c>
      <c r="K194" s="4">
        <v>25</v>
      </c>
      <c r="L194" s="4">
        <v>36</v>
      </c>
      <c r="M194" s="4">
        <v>1</v>
      </c>
      <c r="N194" s="4">
        <v>1</v>
      </c>
      <c r="O194" s="4">
        <v>144</v>
      </c>
      <c r="P194" s="4">
        <v>7</v>
      </c>
    </row>
    <row r="195" spans="1:16">
      <c r="A195" s="46">
        <v>14</v>
      </c>
      <c r="B195" s="2" t="s">
        <v>117</v>
      </c>
      <c r="C195" s="2" t="s">
        <v>82</v>
      </c>
      <c r="D195" s="3"/>
      <c r="E195" s="3"/>
      <c r="F195" s="3"/>
      <c r="G195" s="3"/>
      <c r="H195" s="3"/>
      <c r="I195" s="3"/>
      <c r="J195" s="4">
        <v>19</v>
      </c>
      <c r="K195" s="4">
        <v>27</v>
      </c>
      <c r="L195" s="4">
        <v>55</v>
      </c>
      <c r="M195" s="4">
        <v>34</v>
      </c>
      <c r="N195" s="4">
        <v>53</v>
      </c>
      <c r="O195" s="4">
        <v>194</v>
      </c>
      <c r="P195" s="4">
        <v>119</v>
      </c>
    </row>
    <row r="196" spans="1:16">
      <c r="A196" s="46">
        <v>14</v>
      </c>
      <c r="B196" s="2" t="s">
        <v>117</v>
      </c>
      <c r="C196" s="2" t="s">
        <v>84</v>
      </c>
      <c r="D196" s="3"/>
      <c r="E196" s="3"/>
      <c r="F196" s="3"/>
      <c r="G196" s="3"/>
      <c r="H196" s="3"/>
      <c r="I196" s="3"/>
      <c r="J196" s="4">
        <v>5</v>
      </c>
      <c r="K196" s="4">
        <v>115</v>
      </c>
      <c r="L196" s="4">
        <v>27</v>
      </c>
      <c r="M196" s="4">
        <v>154</v>
      </c>
      <c r="N196" s="4">
        <v>187</v>
      </c>
      <c r="O196" s="4">
        <v>255</v>
      </c>
      <c r="P196" s="4">
        <v>281</v>
      </c>
    </row>
    <row r="197" spans="1:16">
      <c r="A197" s="46">
        <v>14</v>
      </c>
      <c r="B197" s="2" t="s">
        <v>117</v>
      </c>
      <c r="C197" s="2" t="s">
        <v>86</v>
      </c>
      <c r="D197" s="3"/>
      <c r="E197" s="3"/>
      <c r="F197" s="3"/>
      <c r="G197" s="3"/>
      <c r="H197" s="3"/>
      <c r="I197" s="4">
        <v>170</v>
      </c>
      <c r="J197" s="4">
        <v>25</v>
      </c>
      <c r="K197" s="4">
        <v>161</v>
      </c>
      <c r="L197" s="4">
        <v>420</v>
      </c>
      <c r="M197" s="4">
        <v>477</v>
      </c>
      <c r="N197" s="4">
        <v>465</v>
      </c>
      <c r="O197" s="4">
        <v>690</v>
      </c>
      <c r="P197" s="4">
        <v>581</v>
      </c>
    </row>
    <row r="198" spans="1:16">
      <c r="A198" s="46">
        <v>14</v>
      </c>
      <c r="B198" s="2" t="s">
        <v>117</v>
      </c>
      <c r="C198" s="2" t="s">
        <v>214</v>
      </c>
      <c r="D198" s="3"/>
      <c r="E198" s="3"/>
      <c r="F198" s="3"/>
      <c r="G198" s="3"/>
      <c r="H198" s="3"/>
      <c r="I198" s="4">
        <v>239</v>
      </c>
      <c r="J198" s="4">
        <v>100</v>
      </c>
      <c r="K198" s="4">
        <v>507</v>
      </c>
      <c r="L198" s="4">
        <v>350</v>
      </c>
      <c r="M198" s="4">
        <v>185</v>
      </c>
      <c r="N198" s="4">
        <v>143</v>
      </c>
      <c r="O198" s="4">
        <v>246</v>
      </c>
      <c r="P198" s="4">
        <v>314</v>
      </c>
    </row>
    <row r="199" spans="1:16">
      <c r="A199" s="46">
        <v>15</v>
      </c>
      <c r="B199" s="2" t="s">
        <v>119</v>
      </c>
      <c r="C199" s="2" t="s">
        <v>210</v>
      </c>
      <c r="D199" s="4">
        <v>7</v>
      </c>
      <c r="E199" s="4">
        <v>13</v>
      </c>
      <c r="F199" s="4">
        <v>16</v>
      </c>
      <c r="G199" s="4">
        <v>26</v>
      </c>
      <c r="H199" s="4">
        <v>17</v>
      </c>
      <c r="I199" s="4">
        <v>8</v>
      </c>
      <c r="J199" s="4">
        <v>15</v>
      </c>
      <c r="K199" s="4">
        <v>12</v>
      </c>
      <c r="L199" s="4">
        <v>8</v>
      </c>
      <c r="M199" s="4">
        <v>15</v>
      </c>
      <c r="N199" s="4">
        <v>17</v>
      </c>
      <c r="O199" s="4">
        <v>33</v>
      </c>
      <c r="P199" s="4">
        <v>12</v>
      </c>
    </row>
    <row r="200" spans="1:16">
      <c r="A200" s="46">
        <v>15</v>
      </c>
      <c r="B200" s="2" t="s">
        <v>119</v>
      </c>
      <c r="C200" s="2" t="s">
        <v>211</v>
      </c>
      <c r="D200" s="4">
        <v>7</v>
      </c>
      <c r="E200" s="4">
        <v>5</v>
      </c>
      <c r="F200" s="4">
        <v>0</v>
      </c>
      <c r="G200" s="4">
        <v>2</v>
      </c>
      <c r="H200" s="4">
        <v>8</v>
      </c>
      <c r="I200" s="4">
        <v>7</v>
      </c>
      <c r="J200" s="4">
        <v>0</v>
      </c>
      <c r="K200" s="4">
        <v>27</v>
      </c>
      <c r="L200" s="4">
        <v>2</v>
      </c>
      <c r="M200" s="4">
        <v>4</v>
      </c>
      <c r="N200" s="4">
        <v>8</v>
      </c>
      <c r="O200" s="4">
        <v>6</v>
      </c>
      <c r="P200" s="4">
        <v>12</v>
      </c>
    </row>
    <row r="201" spans="1:16">
      <c r="A201" s="46">
        <v>15</v>
      </c>
      <c r="B201" s="2" t="s">
        <v>119</v>
      </c>
      <c r="C201" s="2" t="s">
        <v>65</v>
      </c>
      <c r="D201" s="4">
        <v>23</v>
      </c>
      <c r="E201" s="4">
        <v>49</v>
      </c>
      <c r="F201" s="4">
        <v>61</v>
      </c>
      <c r="G201" s="4">
        <v>51</v>
      </c>
      <c r="H201" s="4">
        <v>18</v>
      </c>
      <c r="I201" s="4">
        <v>40</v>
      </c>
      <c r="J201" s="4">
        <v>67</v>
      </c>
      <c r="K201" s="4">
        <v>41</v>
      </c>
      <c r="L201" s="4">
        <v>15</v>
      </c>
      <c r="M201" s="4">
        <v>54</v>
      </c>
      <c r="N201" s="4">
        <v>56</v>
      </c>
      <c r="O201" s="4">
        <v>38</v>
      </c>
      <c r="P201" s="4">
        <v>28</v>
      </c>
    </row>
    <row r="202" spans="1:16">
      <c r="A202" s="46">
        <v>15</v>
      </c>
      <c r="B202" s="2" t="s">
        <v>119</v>
      </c>
      <c r="C202" s="2" t="s">
        <v>67</v>
      </c>
      <c r="D202" s="4">
        <v>21</v>
      </c>
      <c r="E202" s="4">
        <v>30</v>
      </c>
      <c r="F202" s="4">
        <v>49</v>
      </c>
      <c r="G202" s="4">
        <v>95</v>
      </c>
      <c r="H202" s="4">
        <v>83</v>
      </c>
      <c r="I202" s="4">
        <v>34</v>
      </c>
      <c r="J202" s="4">
        <v>57</v>
      </c>
      <c r="K202" s="4">
        <v>86</v>
      </c>
      <c r="L202" s="4">
        <v>43</v>
      </c>
      <c r="M202" s="4">
        <v>71</v>
      </c>
      <c r="N202" s="4">
        <v>51</v>
      </c>
      <c r="O202" s="4">
        <v>91</v>
      </c>
      <c r="P202" s="4">
        <v>100</v>
      </c>
    </row>
    <row r="203" spans="1:16">
      <c r="A203" s="46">
        <v>15</v>
      </c>
      <c r="B203" s="2" t="s">
        <v>119</v>
      </c>
      <c r="C203" s="2" t="s">
        <v>69</v>
      </c>
      <c r="D203" s="4">
        <v>0</v>
      </c>
      <c r="E203" s="4">
        <v>33</v>
      </c>
      <c r="F203" s="4">
        <v>16</v>
      </c>
      <c r="G203" s="4">
        <v>6</v>
      </c>
      <c r="H203" s="4">
        <v>0</v>
      </c>
      <c r="I203" s="4">
        <v>8</v>
      </c>
      <c r="J203" s="4">
        <v>6</v>
      </c>
      <c r="K203" s="4">
        <v>19</v>
      </c>
      <c r="L203" s="4">
        <v>10</v>
      </c>
      <c r="M203" s="4">
        <v>15</v>
      </c>
      <c r="N203" s="4">
        <v>18</v>
      </c>
      <c r="O203" s="4">
        <v>24</v>
      </c>
      <c r="P203" s="4">
        <v>13</v>
      </c>
    </row>
    <row r="204" spans="1:16">
      <c r="A204" s="46">
        <v>15</v>
      </c>
      <c r="B204" s="2" t="s">
        <v>119</v>
      </c>
      <c r="C204" s="2" t="s">
        <v>212</v>
      </c>
      <c r="D204" s="4">
        <v>2</v>
      </c>
      <c r="E204" s="4">
        <v>1</v>
      </c>
      <c r="F204" s="3"/>
      <c r="G204" s="3"/>
      <c r="H204" s="3"/>
      <c r="I204" s="3"/>
      <c r="J204" s="3"/>
      <c r="K204" s="3"/>
      <c r="L204" s="3"/>
      <c r="M204" s="3"/>
      <c r="N204" s="4">
        <v>2</v>
      </c>
      <c r="O204" s="4">
        <v>0</v>
      </c>
      <c r="P204" s="3"/>
    </row>
    <row r="205" spans="1:16">
      <c r="A205" s="46">
        <v>15</v>
      </c>
      <c r="B205" s="2" t="s">
        <v>119</v>
      </c>
      <c r="C205" s="2" t="s">
        <v>73</v>
      </c>
      <c r="D205" s="4">
        <v>12</v>
      </c>
      <c r="E205" s="4">
        <v>4</v>
      </c>
      <c r="F205" s="4">
        <v>14</v>
      </c>
      <c r="G205" s="4">
        <v>12</v>
      </c>
      <c r="H205" s="4">
        <v>10</v>
      </c>
      <c r="I205" s="4">
        <v>21</v>
      </c>
      <c r="J205" s="4">
        <v>63</v>
      </c>
      <c r="K205" s="4">
        <v>33</v>
      </c>
      <c r="L205" s="4">
        <v>15</v>
      </c>
      <c r="M205" s="4">
        <v>19</v>
      </c>
      <c r="N205" s="4">
        <v>23</v>
      </c>
      <c r="O205" s="4">
        <v>17</v>
      </c>
      <c r="P205" s="4">
        <v>27</v>
      </c>
    </row>
    <row r="206" spans="1:16">
      <c r="A206" s="46">
        <v>15</v>
      </c>
      <c r="B206" s="2" t="s">
        <v>119</v>
      </c>
      <c r="C206" s="2" t="s">
        <v>213</v>
      </c>
      <c r="D206" s="4">
        <v>8</v>
      </c>
      <c r="E206" s="4">
        <v>4</v>
      </c>
      <c r="F206" s="4">
        <v>11</v>
      </c>
      <c r="G206" s="4">
        <v>5</v>
      </c>
      <c r="H206" s="4">
        <v>3</v>
      </c>
      <c r="I206" s="3"/>
      <c r="J206" s="4">
        <v>2</v>
      </c>
      <c r="K206" s="4">
        <v>9</v>
      </c>
      <c r="L206" s="4">
        <v>0</v>
      </c>
      <c r="M206" s="4">
        <v>2</v>
      </c>
      <c r="N206" s="4">
        <v>6</v>
      </c>
      <c r="O206" s="4">
        <v>1</v>
      </c>
      <c r="P206" s="4">
        <v>6</v>
      </c>
    </row>
    <row r="207" spans="1:16">
      <c r="A207" s="46">
        <v>15</v>
      </c>
      <c r="B207" s="2" t="s">
        <v>119</v>
      </c>
      <c r="C207" s="2" t="s">
        <v>77</v>
      </c>
      <c r="D207" s="4">
        <v>23</v>
      </c>
      <c r="E207" s="4">
        <v>25</v>
      </c>
      <c r="F207" s="4">
        <v>13</v>
      </c>
      <c r="G207" s="4">
        <v>18</v>
      </c>
      <c r="H207" s="4">
        <v>26</v>
      </c>
      <c r="I207" s="4">
        <v>22</v>
      </c>
      <c r="J207" s="4">
        <v>20</v>
      </c>
      <c r="K207" s="4">
        <v>26</v>
      </c>
      <c r="L207" s="4">
        <v>5</v>
      </c>
      <c r="M207" s="4">
        <v>58</v>
      </c>
      <c r="N207" s="4">
        <v>87</v>
      </c>
      <c r="O207" s="4">
        <v>78</v>
      </c>
      <c r="P207" s="4">
        <v>32</v>
      </c>
    </row>
    <row r="208" spans="1:16">
      <c r="A208" s="46">
        <v>15</v>
      </c>
      <c r="B208" s="2" t="s">
        <v>119</v>
      </c>
      <c r="C208" s="2" t="s">
        <v>79</v>
      </c>
      <c r="D208" s="4">
        <v>3</v>
      </c>
      <c r="E208" s="4">
        <v>2</v>
      </c>
      <c r="F208" s="4">
        <v>2</v>
      </c>
      <c r="G208" s="4">
        <v>14</v>
      </c>
      <c r="H208" s="4">
        <v>5</v>
      </c>
      <c r="I208" s="4">
        <v>0</v>
      </c>
      <c r="J208" s="4">
        <v>4</v>
      </c>
      <c r="K208" s="4">
        <v>2</v>
      </c>
      <c r="L208" s="4">
        <v>14</v>
      </c>
      <c r="M208" s="4">
        <v>2</v>
      </c>
      <c r="N208" s="4">
        <v>18</v>
      </c>
      <c r="O208" s="4">
        <v>13</v>
      </c>
      <c r="P208" s="4">
        <v>21</v>
      </c>
    </row>
    <row r="209" spans="1:16">
      <c r="A209" s="46">
        <v>15</v>
      </c>
      <c r="B209" s="2" t="s">
        <v>119</v>
      </c>
      <c r="C209" s="2" t="s">
        <v>54</v>
      </c>
      <c r="D209" s="3"/>
      <c r="E209" s="4">
        <v>13</v>
      </c>
      <c r="F209" s="4">
        <v>6</v>
      </c>
      <c r="G209" s="4">
        <v>16</v>
      </c>
      <c r="H209" s="4">
        <v>2</v>
      </c>
      <c r="I209" s="4">
        <v>10</v>
      </c>
      <c r="J209" s="4">
        <v>12</v>
      </c>
      <c r="K209" s="4">
        <v>8</v>
      </c>
      <c r="L209" s="4">
        <v>5</v>
      </c>
      <c r="M209" s="4">
        <v>24</v>
      </c>
      <c r="N209" s="4">
        <v>33</v>
      </c>
      <c r="O209" s="4">
        <v>8</v>
      </c>
      <c r="P209" s="4">
        <v>10</v>
      </c>
    </row>
    <row r="210" spans="1:16">
      <c r="A210" s="46">
        <v>15</v>
      </c>
      <c r="B210" s="2" t="s">
        <v>119</v>
      </c>
      <c r="C210" s="2" t="s">
        <v>82</v>
      </c>
      <c r="D210" s="4">
        <v>1</v>
      </c>
      <c r="E210" s="4">
        <v>9</v>
      </c>
      <c r="F210" s="4">
        <v>22</v>
      </c>
      <c r="G210" s="4">
        <v>16</v>
      </c>
      <c r="H210" s="4">
        <v>12</v>
      </c>
      <c r="I210" s="4">
        <v>2</v>
      </c>
      <c r="J210" s="4">
        <v>26</v>
      </c>
      <c r="K210" s="4">
        <v>24</v>
      </c>
      <c r="L210" s="4">
        <v>16</v>
      </c>
      <c r="M210" s="4">
        <v>16</v>
      </c>
      <c r="N210" s="4">
        <v>6</v>
      </c>
      <c r="O210" s="4">
        <v>9</v>
      </c>
      <c r="P210" s="4">
        <v>11</v>
      </c>
    </row>
    <row r="211" spans="1:16">
      <c r="A211" s="46">
        <v>15</v>
      </c>
      <c r="B211" s="2" t="s">
        <v>119</v>
      </c>
      <c r="C211" s="2" t="s">
        <v>84</v>
      </c>
      <c r="D211" s="4">
        <v>2</v>
      </c>
      <c r="E211" s="4">
        <v>2</v>
      </c>
      <c r="F211" s="4">
        <v>2</v>
      </c>
      <c r="G211" s="4">
        <v>1</v>
      </c>
      <c r="H211" s="4">
        <v>0</v>
      </c>
      <c r="I211" s="4">
        <v>2</v>
      </c>
      <c r="J211" s="4">
        <v>3</v>
      </c>
      <c r="K211" s="4">
        <v>8</v>
      </c>
      <c r="L211" s="4">
        <v>0</v>
      </c>
      <c r="M211" s="4">
        <v>1</v>
      </c>
      <c r="N211" s="4">
        <v>8</v>
      </c>
      <c r="O211" s="4">
        <v>1</v>
      </c>
      <c r="P211" s="4">
        <v>6</v>
      </c>
    </row>
    <row r="212" spans="1:16">
      <c r="A212" s="46">
        <v>15</v>
      </c>
      <c r="B212" s="2" t="s">
        <v>119</v>
      </c>
      <c r="C212" s="2" t="s">
        <v>86</v>
      </c>
      <c r="D212" s="4">
        <v>17</v>
      </c>
      <c r="E212" s="4">
        <v>27</v>
      </c>
      <c r="F212" s="4">
        <v>26</v>
      </c>
      <c r="G212" s="4">
        <v>11</v>
      </c>
      <c r="H212" s="4">
        <v>8</v>
      </c>
      <c r="I212" s="4">
        <v>9</v>
      </c>
      <c r="J212" s="4">
        <v>37</v>
      </c>
      <c r="K212" s="4">
        <v>28</v>
      </c>
      <c r="L212" s="4">
        <v>24</v>
      </c>
      <c r="M212" s="4">
        <v>27</v>
      </c>
      <c r="N212" s="4">
        <v>23</v>
      </c>
      <c r="O212" s="4">
        <v>28</v>
      </c>
      <c r="P212" s="4">
        <v>44</v>
      </c>
    </row>
    <row r="213" spans="1:16">
      <c r="A213" s="46">
        <v>15</v>
      </c>
      <c r="B213" s="2" t="s">
        <v>119</v>
      </c>
      <c r="C213" s="2" t="s">
        <v>214</v>
      </c>
      <c r="D213" s="4">
        <v>0</v>
      </c>
      <c r="E213" s="4">
        <v>4</v>
      </c>
      <c r="F213" s="4">
        <v>4</v>
      </c>
      <c r="G213" s="4">
        <v>14</v>
      </c>
      <c r="H213" s="4">
        <v>0</v>
      </c>
      <c r="I213" s="4">
        <v>12</v>
      </c>
      <c r="J213" s="4">
        <v>2</v>
      </c>
      <c r="K213" s="4">
        <v>6</v>
      </c>
      <c r="L213" s="4">
        <v>0</v>
      </c>
      <c r="M213" s="4">
        <v>4</v>
      </c>
      <c r="N213" s="3"/>
      <c r="O213" s="4">
        <v>2</v>
      </c>
      <c r="P213" s="4">
        <v>2</v>
      </c>
    </row>
    <row r="214" spans="1:16">
      <c r="A214" s="46">
        <v>16</v>
      </c>
      <c r="B214" s="2" t="s">
        <v>121</v>
      </c>
      <c r="C214" s="2" t="s">
        <v>210</v>
      </c>
      <c r="D214" s="4">
        <v>28</v>
      </c>
      <c r="E214" s="4">
        <v>177</v>
      </c>
      <c r="F214" s="4">
        <v>65</v>
      </c>
      <c r="G214" s="4">
        <v>142</v>
      </c>
      <c r="H214" s="4">
        <v>63</v>
      </c>
      <c r="I214" s="4">
        <v>67</v>
      </c>
      <c r="J214" s="4">
        <v>83</v>
      </c>
      <c r="K214" s="4">
        <v>151</v>
      </c>
      <c r="L214" s="4">
        <v>72</v>
      </c>
      <c r="M214" s="4">
        <v>47</v>
      </c>
      <c r="N214" s="4">
        <v>1050</v>
      </c>
      <c r="O214" s="4">
        <v>81</v>
      </c>
      <c r="P214" s="4">
        <v>79</v>
      </c>
    </row>
    <row r="215" spans="1:16">
      <c r="A215" s="46">
        <v>16</v>
      </c>
      <c r="B215" s="2" t="s">
        <v>121</v>
      </c>
      <c r="C215" s="2" t="s">
        <v>211</v>
      </c>
      <c r="D215" s="4">
        <v>4</v>
      </c>
      <c r="E215" s="3"/>
      <c r="F215" s="4">
        <v>6</v>
      </c>
      <c r="G215" s="4">
        <v>1</v>
      </c>
      <c r="H215" s="4">
        <v>8</v>
      </c>
      <c r="I215" s="4">
        <v>4</v>
      </c>
      <c r="J215" s="3"/>
      <c r="K215" s="4">
        <v>18</v>
      </c>
      <c r="L215" s="4">
        <v>2</v>
      </c>
      <c r="M215" s="4">
        <v>25</v>
      </c>
      <c r="N215" s="4">
        <v>2</v>
      </c>
      <c r="O215" s="4">
        <v>0</v>
      </c>
      <c r="P215" s="4">
        <v>2</v>
      </c>
    </row>
    <row r="216" spans="1:16">
      <c r="A216" s="46">
        <v>16</v>
      </c>
      <c r="B216" s="2" t="s">
        <v>121</v>
      </c>
      <c r="C216" s="2" t="s">
        <v>65</v>
      </c>
      <c r="D216" s="4">
        <v>24</v>
      </c>
      <c r="E216" s="4">
        <v>132</v>
      </c>
      <c r="F216" s="4">
        <v>60</v>
      </c>
      <c r="G216" s="4">
        <v>88</v>
      </c>
      <c r="H216" s="4">
        <v>70</v>
      </c>
      <c r="I216" s="4">
        <v>70</v>
      </c>
      <c r="J216" s="4">
        <v>60</v>
      </c>
      <c r="K216" s="4">
        <v>111</v>
      </c>
      <c r="L216" s="4">
        <v>158</v>
      </c>
      <c r="M216" s="4">
        <v>117</v>
      </c>
      <c r="N216" s="4">
        <v>33</v>
      </c>
      <c r="O216" s="4">
        <v>104</v>
      </c>
      <c r="P216" s="4">
        <v>170</v>
      </c>
    </row>
    <row r="217" spans="1:16">
      <c r="A217" s="46">
        <v>16</v>
      </c>
      <c r="B217" s="2" t="s">
        <v>121</v>
      </c>
      <c r="C217" s="2" t="s">
        <v>67</v>
      </c>
      <c r="D217" s="4">
        <v>250</v>
      </c>
      <c r="E217" s="4">
        <v>106</v>
      </c>
      <c r="F217" s="4">
        <v>163</v>
      </c>
      <c r="G217" s="4">
        <v>184</v>
      </c>
      <c r="H217" s="4">
        <v>215</v>
      </c>
      <c r="I217" s="4">
        <v>21</v>
      </c>
      <c r="J217" s="4">
        <v>230</v>
      </c>
      <c r="K217" s="4">
        <v>271</v>
      </c>
      <c r="L217" s="4">
        <v>143</v>
      </c>
      <c r="M217" s="4">
        <v>235</v>
      </c>
      <c r="N217" s="4">
        <v>333</v>
      </c>
      <c r="O217" s="4">
        <v>307</v>
      </c>
      <c r="P217" s="4">
        <v>496</v>
      </c>
    </row>
    <row r="218" spans="1:16">
      <c r="A218" s="46">
        <v>16</v>
      </c>
      <c r="B218" s="2" t="s">
        <v>121</v>
      </c>
      <c r="C218" s="2" t="s">
        <v>69</v>
      </c>
      <c r="D218" s="4">
        <v>5</v>
      </c>
      <c r="E218" s="4">
        <v>63</v>
      </c>
      <c r="F218" s="4">
        <v>7</v>
      </c>
      <c r="G218" s="4">
        <v>15</v>
      </c>
      <c r="H218" s="4">
        <v>11</v>
      </c>
      <c r="I218" s="4">
        <v>23</v>
      </c>
      <c r="J218" s="4">
        <v>25</v>
      </c>
      <c r="K218" s="4">
        <v>35</v>
      </c>
      <c r="L218" s="4">
        <v>43</v>
      </c>
      <c r="M218" s="4">
        <v>58</v>
      </c>
      <c r="N218" s="4">
        <v>26</v>
      </c>
      <c r="O218" s="4">
        <v>21</v>
      </c>
      <c r="P218" s="4">
        <v>124</v>
      </c>
    </row>
    <row r="219" spans="1:16">
      <c r="A219" s="46">
        <v>16</v>
      </c>
      <c r="B219" s="2" t="s">
        <v>121</v>
      </c>
      <c r="C219" s="2" t="s">
        <v>212</v>
      </c>
      <c r="D219" s="4">
        <v>25</v>
      </c>
      <c r="E219" s="3"/>
      <c r="F219" s="4">
        <v>6</v>
      </c>
      <c r="G219" s="3"/>
      <c r="H219" s="3"/>
      <c r="I219" s="3"/>
      <c r="J219" s="3"/>
      <c r="K219" s="3"/>
      <c r="L219" s="3"/>
      <c r="M219" s="3"/>
      <c r="N219" s="3"/>
      <c r="O219" s="3"/>
      <c r="P219" s="4">
        <v>13</v>
      </c>
    </row>
    <row r="220" spans="1:16">
      <c r="A220" s="46">
        <v>16</v>
      </c>
      <c r="B220" s="2" t="s">
        <v>121</v>
      </c>
      <c r="C220" s="2" t="s">
        <v>73</v>
      </c>
      <c r="D220" s="4">
        <v>904</v>
      </c>
      <c r="E220" s="4">
        <v>324</v>
      </c>
      <c r="F220" s="4">
        <v>1977</v>
      </c>
      <c r="G220" s="4">
        <v>532</v>
      </c>
      <c r="H220" s="4">
        <v>277</v>
      </c>
      <c r="I220" s="4">
        <v>485</v>
      </c>
      <c r="J220" s="4">
        <v>372</v>
      </c>
      <c r="K220" s="4">
        <v>407</v>
      </c>
      <c r="L220" s="4">
        <v>641</v>
      </c>
      <c r="M220" s="4">
        <v>1010</v>
      </c>
      <c r="N220" s="4">
        <v>593</v>
      </c>
      <c r="O220" s="4">
        <v>749</v>
      </c>
      <c r="P220" s="4">
        <v>369</v>
      </c>
    </row>
    <row r="221" spans="1:16">
      <c r="A221" s="46">
        <v>16</v>
      </c>
      <c r="B221" s="2" t="s">
        <v>121</v>
      </c>
      <c r="C221" s="2" t="s">
        <v>213</v>
      </c>
      <c r="D221" s="4">
        <v>2</v>
      </c>
      <c r="E221" s="4">
        <v>52</v>
      </c>
      <c r="F221" s="4">
        <v>0</v>
      </c>
      <c r="G221" s="4">
        <v>5</v>
      </c>
      <c r="H221" s="4">
        <v>3</v>
      </c>
      <c r="I221" s="4">
        <v>0</v>
      </c>
      <c r="J221" s="4">
        <v>4</v>
      </c>
      <c r="K221" s="4">
        <v>7</v>
      </c>
      <c r="L221" s="4">
        <v>1</v>
      </c>
      <c r="M221" s="4">
        <v>7</v>
      </c>
      <c r="N221" s="4">
        <v>0</v>
      </c>
      <c r="O221" s="3"/>
      <c r="P221" s="4">
        <v>1</v>
      </c>
    </row>
    <row r="222" spans="1:16">
      <c r="A222" s="46">
        <v>16</v>
      </c>
      <c r="B222" s="2" t="s">
        <v>121</v>
      </c>
      <c r="C222" s="2" t="s">
        <v>77</v>
      </c>
      <c r="D222" s="4">
        <v>26</v>
      </c>
      <c r="E222" s="4">
        <v>98</v>
      </c>
      <c r="F222" s="4">
        <v>89</v>
      </c>
      <c r="G222" s="4">
        <v>40</v>
      </c>
      <c r="H222" s="4">
        <v>56</v>
      </c>
      <c r="I222" s="4">
        <v>63</v>
      </c>
      <c r="J222" s="4">
        <v>188</v>
      </c>
      <c r="K222" s="4">
        <v>123</v>
      </c>
      <c r="L222" s="4">
        <v>89</v>
      </c>
      <c r="M222" s="4">
        <v>145</v>
      </c>
      <c r="N222" s="4">
        <v>266</v>
      </c>
      <c r="O222" s="4">
        <v>153</v>
      </c>
      <c r="P222" s="4">
        <v>62</v>
      </c>
    </row>
    <row r="223" spans="1:16">
      <c r="A223" s="46">
        <v>16</v>
      </c>
      <c r="B223" s="2" t="s">
        <v>121</v>
      </c>
      <c r="C223" s="2" t="s">
        <v>79</v>
      </c>
      <c r="D223" s="4">
        <v>0</v>
      </c>
      <c r="E223" s="4">
        <v>55</v>
      </c>
      <c r="F223" s="4">
        <v>13</v>
      </c>
      <c r="G223" s="4">
        <v>237</v>
      </c>
      <c r="H223" s="4">
        <v>134</v>
      </c>
      <c r="I223" s="4">
        <v>10</v>
      </c>
      <c r="J223" s="4">
        <v>44</v>
      </c>
      <c r="K223" s="4">
        <v>132</v>
      </c>
      <c r="L223" s="4">
        <v>30</v>
      </c>
      <c r="M223" s="4">
        <v>45</v>
      </c>
      <c r="N223" s="4">
        <v>282</v>
      </c>
      <c r="O223" s="4">
        <v>61</v>
      </c>
      <c r="P223" s="4">
        <v>99</v>
      </c>
    </row>
    <row r="224" spans="1:16">
      <c r="A224" s="46">
        <v>16</v>
      </c>
      <c r="B224" s="2" t="s">
        <v>121</v>
      </c>
      <c r="C224" s="2" t="s">
        <v>54</v>
      </c>
      <c r="D224" s="4">
        <v>0</v>
      </c>
      <c r="E224" s="4">
        <v>0</v>
      </c>
      <c r="F224" s="4">
        <v>9</v>
      </c>
      <c r="G224" s="4">
        <v>0</v>
      </c>
      <c r="H224" s="4">
        <v>23</v>
      </c>
      <c r="I224" s="4">
        <v>5</v>
      </c>
      <c r="J224" s="4">
        <v>0</v>
      </c>
      <c r="K224" s="3"/>
      <c r="L224" s="4">
        <v>8</v>
      </c>
      <c r="M224" s="4">
        <v>8</v>
      </c>
      <c r="N224" s="4">
        <v>4</v>
      </c>
      <c r="O224" s="4">
        <v>0</v>
      </c>
      <c r="P224" s="4">
        <v>16</v>
      </c>
    </row>
    <row r="225" spans="1:16">
      <c r="A225" s="46">
        <v>16</v>
      </c>
      <c r="B225" s="2" t="s">
        <v>121</v>
      </c>
      <c r="C225" s="2" t="s">
        <v>82</v>
      </c>
      <c r="D225" s="4">
        <v>45</v>
      </c>
      <c r="E225" s="4">
        <v>11</v>
      </c>
      <c r="F225" s="4">
        <v>69</v>
      </c>
      <c r="G225" s="4">
        <v>98</v>
      </c>
      <c r="H225" s="4">
        <v>1</v>
      </c>
      <c r="I225" s="4">
        <v>4</v>
      </c>
      <c r="J225" s="4">
        <v>18</v>
      </c>
      <c r="K225" s="4">
        <v>97</v>
      </c>
      <c r="L225" s="4">
        <v>15</v>
      </c>
      <c r="M225" s="4">
        <v>16</v>
      </c>
      <c r="N225" s="4">
        <v>21</v>
      </c>
      <c r="O225" s="4">
        <v>30</v>
      </c>
      <c r="P225" s="4">
        <v>106</v>
      </c>
    </row>
    <row r="226" spans="1:16">
      <c r="A226" s="46">
        <v>16</v>
      </c>
      <c r="B226" s="2" t="s">
        <v>121</v>
      </c>
      <c r="C226" s="2" t="s">
        <v>84</v>
      </c>
      <c r="D226" s="4">
        <v>0</v>
      </c>
      <c r="E226" s="4">
        <v>1</v>
      </c>
      <c r="F226" s="4">
        <v>0</v>
      </c>
      <c r="G226" s="4">
        <v>5</v>
      </c>
      <c r="H226" s="4">
        <v>5</v>
      </c>
      <c r="I226" s="4">
        <v>9</v>
      </c>
      <c r="J226" s="4">
        <v>17</v>
      </c>
      <c r="K226" s="4">
        <v>172</v>
      </c>
      <c r="L226" s="4">
        <v>9</v>
      </c>
      <c r="M226" s="4">
        <v>11</v>
      </c>
      <c r="N226" s="4">
        <v>0</v>
      </c>
      <c r="O226" s="4">
        <v>2</v>
      </c>
      <c r="P226" s="4">
        <v>0</v>
      </c>
    </row>
    <row r="227" spans="1:16">
      <c r="A227" s="46">
        <v>16</v>
      </c>
      <c r="B227" s="2" t="s">
        <v>121</v>
      </c>
      <c r="C227" s="2" t="s">
        <v>86</v>
      </c>
      <c r="D227" s="4">
        <v>120</v>
      </c>
      <c r="E227" s="4">
        <v>321</v>
      </c>
      <c r="F227" s="4">
        <v>123</v>
      </c>
      <c r="G227" s="4">
        <v>248</v>
      </c>
      <c r="H227" s="4">
        <v>267</v>
      </c>
      <c r="I227" s="4">
        <v>275</v>
      </c>
      <c r="J227" s="4">
        <v>251</v>
      </c>
      <c r="K227" s="4">
        <v>345</v>
      </c>
      <c r="L227" s="4">
        <v>133</v>
      </c>
      <c r="M227" s="4">
        <v>430</v>
      </c>
      <c r="N227" s="4">
        <v>262</v>
      </c>
      <c r="O227" s="4">
        <v>253</v>
      </c>
      <c r="P227" s="4">
        <v>169</v>
      </c>
    </row>
    <row r="228" spans="1:16">
      <c r="A228" s="46">
        <v>16</v>
      </c>
      <c r="B228" s="2" t="s">
        <v>121</v>
      </c>
      <c r="C228" s="2" t="s">
        <v>214</v>
      </c>
      <c r="D228" s="4">
        <v>0</v>
      </c>
      <c r="E228" s="4">
        <v>34</v>
      </c>
      <c r="F228" s="4">
        <v>0</v>
      </c>
      <c r="G228" s="4">
        <v>50</v>
      </c>
      <c r="H228" s="4">
        <v>31</v>
      </c>
      <c r="I228" s="4">
        <v>68</v>
      </c>
      <c r="J228" s="4">
        <v>51</v>
      </c>
      <c r="K228" s="4">
        <v>138</v>
      </c>
      <c r="L228" s="4">
        <v>149</v>
      </c>
      <c r="M228" s="4">
        <v>64</v>
      </c>
      <c r="N228" s="4">
        <v>16</v>
      </c>
      <c r="O228" s="4">
        <v>12</v>
      </c>
      <c r="P228" s="4">
        <v>17</v>
      </c>
    </row>
    <row r="229" spans="1:16">
      <c r="A229" s="46">
        <v>17</v>
      </c>
      <c r="B229" s="2" t="s">
        <v>123</v>
      </c>
      <c r="C229" s="2" t="s">
        <v>210</v>
      </c>
      <c r="D229" s="4">
        <v>37</v>
      </c>
      <c r="E229" s="4">
        <v>-15</v>
      </c>
      <c r="F229" s="4">
        <v>7</v>
      </c>
      <c r="G229" s="4">
        <v>46</v>
      </c>
      <c r="H229" s="4">
        <v>31</v>
      </c>
      <c r="I229" s="4">
        <v>15</v>
      </c>
      <c r="J229" s="4">
        <v>79</v>
      </c>
      <c r="K229" s="4">
        <v>37</v>
      </c>
      <c r="L229" s="4">
        <v>12</v>
      </c>
      <c r="M229" s="4">
        <v>85</v>
      </c>
      <c r="N229" s="4">
        <v>60</v>
      </c>
      <c r="O229" s="4">
        <v>46</v>
      </c>
      <c r="P229" s="4">
        <v>38</v>
      </c>
    </row>
    <row r="230" spans="1:16">
      <c r="A230" s="46">
        <v>17</v>
      </c>
      <c r="B230" s="2" t="s">
        <v>123</v>
      </c>
      <c r="C230" s="2" t="s">
        <v>211</v>
      </c>
      <c r="D230" s="4">
        <v>1</v>
      </c>
      <c r="E230" s="4">
        <v>5</v>
      </c>
      <c r="F230" s="4">
        <v>0</v>
      </c>
      <c r="G230" s="4">
        <v>18</v>
      </c>
      <c r="H230" s="4">
        <v>24</v>
      </c>
      <c r="I230" s="4">
        <v>26</v>
      </c>
      <c r="J230" s="4">
        <v>6</v>
      </c>
      <c r="K230" s="4">
        <v>24</v>
      </c>
      <c r="L230" s="4">
        <v>108</v>
      </c>
      <c r="M230" s="4">
        <v>44</v>
      </c>
      <c r="N230" s="4">
        <v>137</v>
      </c>
      <c r="O230" s="4">
        <v>143</v>
      </c>
      <c r="P230" s="4">
        <v>238</v>
      </c>
    </row>
    <row r="231" spans="1:16">
      <c r="A231" s="46">
        <v>17</v>
      </c>
      <c r="B231" s="2" t="s">
        <v>123</v>
      </c>
      <c r="C231" s="2" t="s">
        <v>65</v>
      </c>
      <c r="D231" s="4">
        <v>8</v>
      </c>
      <c r="E231" s="4">
        <v>42</v>
      </c>
      <c r="F231" s="4">
        <v>38</v>
      </c>
      <c r="G231" s="4">
        <v>46</v>
      </c>
      <c r="H231" s="4">
        <v>30</v>
      </c>
      <c r="I231" s="4">
        <v>104</v>
      </c>
      <c r="J231" s="4">
        <v>153</v>
      </c>
      <c r="K231" s="4">
        <v>96</v>
      </c>
      <c r="L231" s="4">
        <v>79</v>
      </c>
      <c r="M231" s="4">
        <v>60</v>
      </c>
      <c r="N231" s="4">
        <v>88</v>
      </c>
      <c r="O231" s="4">
        <v>164</v>
      </c>
      <c r="P231" s="4">
        <v>275</v>
      </c>
    </row>
    <row r="232" spans="1:16">
      <c r="A232" s="46">
        <v>17</v>
      </c>
      <c r="B232" s="2" t="s">
        <v>123</v>
      </c>
      <c r="C232" s="2" t="s">
        <v>67</v>
      </c>
      <c r="D232" s="4">
        <v>15</v>
      </c>
      <c r="E232" s="4">
        <v>54</v>
      </c>
      <c r="F232" s="4">
        <v>72</v>
      </c>
      <c r="G232" s="4">
        <v>142</v>
      </c>
      <c r="H232" s="4">
        <v>124</v>
      </c>
      <c r="I232" s="4">
        <v>172</v>
      </c>
      <c r="J232" s="4">
        <v>110</v>
      </c>
      <c r="K232" s="4">
        <v>142</v>
      </c>
      <c r="L232" s="4">
        <v>127</v>
      </c>
      <c r="M232" s="4">
        <v>236</v>
      </c>
      <c r="N232" s="4">
        <v>152</v>
      </c>
      <c r="O232" s="4">
        <v>291</v>
      </c>
      <c r="P232" s="4">
        <v>442</v>
      </c>
    </row>
    <row r="233" spans="1:16">
      <c r="A233" s="46">
        <v>17</v>
      </c>
      <c r="B233" s="2" t="s">
        <v>123</v>
      </c>
      <c r="C233" s="2" t="s">
        <v>69</v>
      </c>
      <c r="D233" s="4">
        <v>1</v>
      </c>
      <c r="E233" s="4">
        <v>2</v>
      </c>
      <c r="F233" s="4">
        <v>0</v>
      </c>
      <c r="G233" s="4">
        <v>7</v>
      </c>
      <c r="H233" s="4">
        <v>0</v>
      </c>
      <c r="I233" s="4">
        <v>0</v>
      </c>
      <c r="J233" s="4">
        <v>2</v>
      </c>
      <c r="K233" s="4">
        <v>21</v>
      </c>
      <c r="L233" s="4">
        <v>2</v>
      </c>
      <c r="M233" s="4">
        <v>19</v>
      </c>
      <c r="N233" s="4">
        <v>5</v>
      </c>
      <c r="O233" s="4">
        <v>11</v>
      </c>
      <c r="P233" s="4">
        <v>2</v>
      </c>
    </row>
    <row r="234" spans="1:16">
      <c r="A234" s="46">
        <v>17</v>
      </c>
      <c r="B234" s="2" t="s">
        <v>123</v>
      </c>
      <c r="C234" s="2" t="s">
        <v>212</v>
      </c>
      <c r="D234" s="3"/>
      <c r="E234" s="4">
        <v>0</v>
      </c>
      <c r="F234" s="4">
        <v>2</v>
      </c>
      <c r="G234" s="4">
        <v>0</v>
      </c>
      <c r="H234" s="3"/>
      <c r="I234" s="4">
        <v>0</v>
      </c>
      <c r="J234" s="4">
        <v>9</v>
      </c>
      <c r="K234" s="4">
        <v>0</v>
      </c>
      <c r="L234" s="3"/>
      <c r="M234" s="3"/>
      <c r="N234" s="4">
        <v>4</v>
      </c>
      <c r="O234" s="3"/>
      <c r="P234" s="3"/>
    </row>
    <row r="235" spans="1:16">
      <c r="A235" s="46">
        <v>17</v>
      </c>
      <c r="B235" s="2" t="s">
        <v>123</v>
      </c>
      <c r="C235" s="2" t="s">
        <v>73</v>
      </c>
      <c r="D235" s="4">
        <v>105</v>
      </c>
      <c r="E235" s="4">
        <v>175</v>
      </c>
      <c r="F235" s="4">
        <v>105</v>
      </c>
      <c r="G235" s="4">
        <v>76</v>
      </c>
      <c r="H235" s="4">
        <v>73</v>
      </c>
      <c r="I235" s="4">
        <v>102</v>
      </c>
      <c r="J235" s="4">
        <v>104</v>
      </c>
      <c r="K235" s="4">
        <v>145</v>
      </c>
      <c r="L235" s="4">
        <v>96</v>
      </c>
      <c r="M235" s="4">
        <v>264</v>
      </c>
      <c r="N235" s="4">
        <v>278</v>
      </c>
      <c r="O235" s="4">
        <v>243</v>
      </c>
      <c r="P235" s="4">
        <v>273</v>
      </c>
    </row>
    <row r="236" spans="1:16">
      <c r="A236" s="46">
        <v>17</v>
      </c>
      <c r="B236" s="2" t="s">
        <v>123</v>
      </c>
      <c r="C236" s="2" t="s">
        <v>213</v>
      </c>
      <c r="D236" s="4">
        <v>23</v>
      </c>
      <c r="E236" s="4">
        <v>3</v>
      </c>
      <c r="F236" s="4">
        <v>5</v>
      </c>
      <c r="G236" s="4">
        <v>6</v>
      </c>
      <c r="H236" s="4">
        <v>4</v>
      </c>
      <c r="I236" s="4">
        <v>18</v>
      </c>
      <c r="J236" s="4">
        <v>26</v>
      </c>
      <c r="K236" s="4">
        <v>8</v>
      </c>
      <c r="L236" s="4">
        <v>0</v>
      </c>
      <c r="M236" s="4">
        <v>15</v>
      </c>
      <c r="N236" s="4">
        <v>10</v>
      </c>
      <c r="O236" s="4">
        <v>36</v>
      </c>
      <c r="P236" s="4">
        <v>12</v>
      </c>
    </row>
    <row r="237" spans="1:16">
      <c r="A237" s="46">
        <v>17</v>
      </c>
      <c r="B237" s="2" t="s">
        <v>123</v>
      </c>
      <c r="C237" s="2" t="s">
        <v>77</v>
      </c>
      <c r="D237" s="4">
        <v>6</v>
      </c>
      <c r="E237" s="4">
        <v>23</v>
      </c>
      <c r="F237" s="4">
        <v>62</v>
      </c>
      <c r="G237" s="4">
        <v>25</v>
      </c>
      <c r="H237" s="4">
        <v>33</v>
      </c>
      <c r="I237" s="4">
        <v>36</v>
      </c>
      <c r="J237" s="4">
        <v>34</v>
      </c>
      <c r="K237" s="4">
        <v>75</v>
      </c>
      <c r="L237" s="4">
        <v>31</v>
      </c>
      <c r="M237" s="4">
        <v>59</v>
      </c>
      <c r="N237" s="4">
        <v>296</v>
      </c>
      <c r="O237" s="4">
        <v>74</v>
      </c>
      <c r="P237" s="4">
        <v>74</v>
      </c>
    </row>
    <row r="238" spans="1:16">
      <c r="A238" s="46">
        <v>17</v>
      </c>
      <c r="B238" s="2" t="s">
        <v>123</v>
      </c>
      <c r="C238" s="2" t="s">
        <v>79</v>
      </c>
      <c r="D238" s="4">
        <v>0</v>
      </c>
      <c r="E238" s="4">
        <v>0</v>
      </c>
      <c r="F238" s="4">
        <v>6</v>
      </c>
      <c r="G238" s="4">
        <v>27</v>
      </c>
      <c r="H238" s="4">
        <v>25</v>
      </c>
      <c r="I238" s="4">
        <v>7</v>
      </c>
      <c r="J238" s="4">
        <v>16</v>
      </c>
      <c r="K238" s="4">
        <v>31</v>
      </c>
      <c r="L238" s="4">
        <v>7</v>
      </c>
      <c r="M238" s="4">
        <v>28</v>
      </c>
      <c r="N238" s="4">
        <v>11</v>
      </c>
      <c r="O238" s="4">
        <v>21</v>
      </c>
      <c r="P238" s="4">
        <v>19</v>
      </c>
    </row>
    <row r="239" spans="1:16">
      <c r="A239" s="46">
        <v>17</v>
      </c>
      <c r="B239" s="2" t="s">
        <v>123</v>
      </c>
      <c r="C239" s="2" t="s">
        <v>54</v>
      </c>
      <c r="D239" s="4">
        <v>4</v>
      </c>
      <c r="E239" s="4">
        <v>0</v>
      </c>
      <c r="F239" s="4">
        <v>0</v>
      </c>
      <c r="G239" s="4">
        <v>12</v>
      </c>
      <c r="H239" s="4">
        <v>9</v>
      </c>
      <c r="I239" s="4">
        <v>3</v>
      </c>
      <c r="J239" s="4">
        <v>20</v>
      </c>
      <c r="K239" s="4">
        <v>14</v>
      </c>
      <c r="L239" s="4">
        <v>1</v>
      </c>
      <c r="M239" s="4">
        <v>10</v>
      </c>
      <c r="N239" s="4">
        <v>2</v>
      </c>
      <c r="O239" s="4">
        <v>4</v>
      </c>
      <c r="P239" s="4">
        <v>5</v>
      </c>
    </row>
    <row r="240" spans="1:16">
      <c r="A240" s="46">
        <v>17</v>
      </c>
      <c r="B240" s="2" t="s">
        <v>123</v>
      </c>
      <c r="C240" s="2" t="s">
        <v>82</v>
      </c>
      <c r="D240" s="4">
        <v>11</v>
      </c>
      <c r="E240" s="4">
        <v>12</v>
      </c>
      <c r="F240" s="4">
        <v>33</v>
      </c>
      <c r="G240" s="4">
        <v>34</v>
      </c>
      <c r="H240" s="4">
        <v>107</v>
      </c>
      <c r="I240" s="4">
        <v>38</v>
      </c>
      <c r="J240" s="4">
        <v>71</v>
      </c>
      <c r="K240" s="4">
        <v>108</v>
      </c>
      <c r="L240" s="4">
        <v>-7</v>
      </c>
      <c r="M240" s="4">
        <v>56</v>
      </c>
      <c r="N240" s="4">
        <v>116</v>
      </c>
      <c r="O240" s="4">
        <v>39</v>
      </c>
      <c r="P240" s="4">
        <v>44</v>
      </c>
    </row>
    <row r="241" spans="1:16">
      <c r="A241" s="46">
        <v>17</v>
      </c>
      <c r="B241" s="2" t="s">
        <v>123</v>
      </c>
      <c r="C241" s="2" t="s">
        <v>84</v>
      </c>
      <c r="D241" s="3"/>
      <c r="E241" s="4">
        <v>0</v>
      </c>
      <c r="F241" s="4">
        <v>0</v>
      </c>
      <c r="G241" s="4">
        <v>0</v>
      </c>
      <c r="H241" s="4">
        <v>17</v>
      </c>
      <c r="I241" s="4">
        <v>0</v>
      </c>
      <c r="J241" s="4">
        <v>3</v>
      </c>
      <c r="K241" s="4">
        <v>35</v>
      </c>
      <c r="L241" s="4">
        <v>0</v>
      </c>
      <c r="M241" s="4">
        <v>11</v>
      </c>
      <c r="N241" s="4">
        <v>10</v>
      </c>
      <c r="O241" s="4">
        <v>29</v>
      </c>
      <c r="P241" s="4">
        <v>15</v>
      </c>
    </row>
    <row r="242" spans="1:16">
      <c r="A242" s="46">
        <v>17</v>
      </c>
      <c r="B242" s="2" t="s">
        <v>123</v>
      </c>
      <c r="C242" s="2" t="s">
        <v>86</v>
      </c>
      <c r="D242" s="4">
        <v>62</v>
      </c>
      <c r="E242" s="4">
        <v>121</v>
      </c>
      <c r="F242" s="4">
        <v>179</v>
      </c>
      <c r="G242" s="4">
        <v>157</v>
      </c>
      <c r="H242" s="4">
        <v>151</v>
      </c>
      <c r="I242" s="4">
        <v>134</v>
      </c>
      <c r="J242" s="4">
        <v>116</v>
      </c>
      <c r="K242" s="4">
        <v>169</v>
      </c>
      <c r="L242" s="4">
        <v>271</v>
      </c>
      <c r="M242" s="4">
        <v>229</v>
      </c>
      <c r="N242" s="4">
        <v>656</v>
      </c>
      <c r="O242" s="4">
        <v>242</v>
      </c>
      <c r="P242" s="4">
        <v>174</v>
      </c>
    </row>
    <row r="243" spans="1:16">
      <c r="A243" s="46">
        <v>17</v>
      </c>
      <c r="B243" s="2" t="s">
        <v>123</v>
      </c>
      <c r="C243" s="2" t="s">
        <v>214</v>
      </c>
      <c r="D243" s="4">
        <v>2</v>
      </c>
      <c r="E243" s="4">
        <v>21</v>
      </c>
      <c r="F243" s="4">
        <v>8</v>
      </c>
      <c r="G243" s="4">
        <v>12</v>
      </c>
      <c r="H243" s="4">
        <v>13</v>
      </c>
      <c r="I243" s="4">
        <v>14</v>
      </c>
      <c r="J243" s="4">
        <v>76</v>
      </c>
      <c r="K243" s="4">
        <v>139</v>
      </c>
      <c r="L243" s="4">
        <v>162</v>
      </c>
      <c r="M243" s="4">
        <v>105</v>
      </c>
      <c r="N243" s="4">
        <v>96</v>
      </c>
      <c r="O243" s="4">
        <v>81</v>
      </c>
      <c r="P243" s="4">
        <v>41</v>
      </c>
    </row>
    <row r="244" spans="1:16">
      <c r="A244" s="46">
        <v>18</v>
      </c>
      <c r="B244" s="2" t="s">
        <v>125</v>
      </c>
      <c r="C244" s="2" t="s">
        <v>210</v>
      </c>
      <c r="D244" s="3"/>
      <c r="E244" s="3"/>
      <c r="F244" s="3"/>
      <c r="G244" s="4">
        <v>7</v>
      </c>
      <c r="H244" s="4">
        <v>15</v>
      </c>
      <c r="I244" s="4">
        <v>11</v>
      </c>
      <c r="J244" s="4">
        <v>20</v>
      </c>
      <c r="K244" s="4">
        <v>16</v>
      </c>
      <c r="L244" s="4">
        <v>4</v>
      </c>
      <c r="M244" s="4">
        <v>15</v>
      </c>
      <c r="N244" s="4">
        <v>20</v>
      </c>
      <c r="O244" s="4">
        <v>22</v>
      </c>
      <c r="P244" s="4">
        <v>16</v>
      </c>
    </row>
    <row r="245" spans="1:16">
      <c r="A245" s="46">
        <v>18</v>
      </c>
      <c r="B245" s="2" t="s">
        <v>125</v>
      </c>
      <c r="C245" s="2" t="s">
        <v>211</v>
      </c>
      <c r="D245" s="3"/>
      <c r="E245" s="3"/>
      <c r="F245" s="3"/>
      <c r="G245" s="3"/>
      <c r="H245" s="4">
        <v>11</v>
      </c>
      <c r="I245" s="4">
        <v>12</v>
      </c>
      <c r="J245" s="4">
        <v>7</v>
      </c>
      <c r="K245" s="4">
        <v>27</v>
      </c>
      <c r="L245" s="4">
        <v>35</v>
      </c>
      <c r="M245" s="4">
        <v>30</v>
      </c>
      <c r="N245" s="4">
        <v>32</v>
      </c>
      <c r="O245" s="4">
        <v>28</v>
      </c>
      <c r="P245" s="4">
        <v>16</v>
      </c>
    </row>
    <row r="246" spans="1:16">
      <c r="A246" s="46">
        <v>18</v>
      </c>
      <c r="B246" s="2" t="s">
        <v>125</v>
      </c>
      <c r="C246" s="2" t="s">
        <v>65</v>
      </c>
      <c r="D246" s="3"/>
      <c r="E246" s="3"/>
      <c r="F246" s="3"/>
      <c r="G246" s="4">
        <v>30</v>
      </c>
      <c r="H246" s="4">
        <v>32</v>
      </c>
      <c r="I246" s="4">
        <v>171</v>
      </c>
      <c r="J246" s="4">
        <v>97</v>
      </c>
      <c r="K246" s="4">
        <v>92</v>
      </c>
      <c r="L246" s="4">
        <v>101</v>
      </c>
      <c r="M246" s="4">
        <v>148</v>
      </c>
      <c r="N246" s="4">
        <v>80</v>
      </c>
      <c r="O246" s="4">
        <v>163</v>
      </c>
      <c r="P246" s="4">
        <v>91</v>
      </c>
    </row>
    <row r="247" spans="1:16">
      <c r="A247" s="46">
        <v>18</v>
      </c>
      <c r="B247" s="2" t="s">
        <v>125</v>
      </c>
      <c r="C247" s="2" t="s">
        <v>67</v>
      </c>
      <c r="D247" s="3"/>
      <c r="E247" s="3"/>
      <c r="F247" s="3"/>
      <c r="G247" s="4">
        <v>20</v>
      </c>
      <c r="H247" s="4">
        <v>68</v>
      </c>
      <c r="I247" s="4">
        <v>103</v>
      </c>
      <c r="J247" s="4">
        <v>121</v>
      </c>
      <c r="K247" s="4">
        <v>207</v>
      </c>
      <c r="L247" s="4">
        <v>259</v>
      </c>
      <c r="M247" s="4">
        <v>128</v>
      </c>
      <c r="N247" s="4">
        <v>140</v>
      </c>
      <c r="O247" s="4">
        <v>446</v>
      </c>
      <c r="P247" s="4">
        <v>130</v>
      </c>
    </row>
    <row r="248" spans="1:16">
      <c r="A248" s="46">
        <v>18</v>
      </c>
      <c r="B248" s="2" t="s">
        <v>125</v>
      </c>
      <c r="C248" s="2" t="s">
        <v>69</v>
      </c>
      <c r="D248" s="3"/>
      <c r="E248" s="3"/>
      <c r="F248" s="3"/>
      <c r="G248" s="3"/>
      <c r="H248" s="4">
        <v>6</v>
      </c>
      <c r="I248" s="4">
        <v>6</v>
      </c>
      <c r="J248" s="4">
        <v>10</v>
      </c>
      <c r="K248" s="4">
        <v>14</v>
      </c>
      <c r="L248" s="4">
        <v>8</v>
      </c>
      <c r="M248" s="4">
        <v>15</v>
      </c>
      <c r="N248" s="4">
        <v>26</v>
      </c>
      <c r="O248" s="4">
        <v>34</v>
      </c>
      <c r="P248" s="4">
        <v>6</v>
      </c>
    </row>
    <row r="249" spans="1:16">
      <c r="A249" s="46">
        <v>18</v>
      </c>
      <c r="B249" s="2" t="s">
        <v>125</v>
      </c>
      <c r="C249" s="2" t="s">
        <v>212</v>
      </c>
      <c r="D249" s="3"/>
      <c r="E249" s="3"/>
      <c r="F249" s="3"/>
      <c r="G249" s="3"/>
      <c r="H249" s="3"/>
      <c r="I249" s="3"/>
      <c r="J249" s="4">
        <v>0</v>
      </c>
      <c r="K249" s="4">
        <v>4</v>
      </c>
      <c r="L249" s="4">
        <v>0</v>
      </c>
      <c r="M249" s="3"/>
      <c r="N249" s="3"/>
      <c r="O249" s="4">
        <v>4</v>
      </c>
      <c r="P249" s="4">
        <v>4</v>
      </c>
    </row>
    <row r="250" spans="1:16">
      <c r="A250" s="46">
        <v>18</v>
      </c>
      <c r="B250" s="2" t="s">
        <v>125</v>
      </c>
      <c r="C250" s="2" t="s">
        <v>73</v>
      </c>
      <c r="D250" s="3"/>
      <c r="E250" s="3"/>
      <c r="F250" s="3"/>
      <c r="G250" s="4">
        <v>4</v>
      </c>
      <c r="H250" s="4">
        <v>61</v>
      </c>
      <c r="I250" s="4">
        <v>114</v>
      </c>
      <c r="J250" s="4">
        <v>82</v>
      </c>
      <c r="K250" s="4">
        <v>86</v>
      </c>
      <c r="L250" s="4">
        <v>108</v>
      </c>
      <c r="M250" s="4">
        <v>95</v>
      </c>
      <c r="N250" s="4">
        <v>146</v>
      </c>
      <c r="O250" s="4">
        <v>184</v>
      </c>
      <c r="P250" s="4">
        <v>119</v>
      </c>
    </row>
    <row r="251" spans="1:16">
      <c r="A251" s="46">
        <v>18</v>
      </c>
      <c r="B251" s="2" t="s">
        <v>125</v>
      </c>
      <c r="C251" s="2" t="s">
        <v>213</v>
      </c>
      <c r="D251" s="3"/>
      <c r="E251" s="3"/>
      <c r="F251" s="3"/>
      <c r="G251" s="4">
        <v>2</v>
      </c>
      <c r="H251" s="4">
        <v>8</v>
      </c>
      <c r="I251" s="4">
        <v>4</v>
      </c>
      <c r="J251" s="4">
        <v>5</v>
      </c>
      <c r="K251" s="4">
        <v>9</v>
      </c>
      <c r="L251" s="4">
        <v>14</v>
      </c>
      <c r="M251" s="4">
        <v>8</v>
      </c>
      <c r="N251" s="4">
        <v>7</v>
      </c>
      <c r="O251" s="4">
        <v>23</v>
      </c>
      <c r="P251" s="4">
        <v>12</v>
      </c>
    </row>
    <row r="252" spans="1:16">
      <c r="A252" s="46">
        <v>18</v>
      </c>
      <c r="B252" s="2" t="s">
        <v>125</v>
      </c>
      <c r="C252" s="2" t="s">
        <v>77</v>
      </c>
      <c r="D252" s="3"/>
      <c r="E252" s="3"/>
      <c r="F252" s="3"/>
      <c r="G252" s="4">
        <v>4</v>
      </c>
      <c r="H252" s="4">
        <v>36</v>
      </c>
      <c r="I252" s="4">
        <v>50</v>
      </c>
      <c r="J252" s="4">
        <v>36</v>
      </c>
      <c r="K252" s="4">
        <v>82</v>
      </c>
      <c r="L252" s="4">
        <v>47</v>
      </c>
      <c r="M252" s="4">
        <v>72</v>
      </c>
      <c r="N252" s="4">
        <v>69</v>
      </c>
      <c r="O252" s="4">
        <v>113</v>
      </c>
      <c r="P252" s="4">
        <v>87</v>
      </c>
    </row>
    <row r="253" spans="1:16">
      <c r="A253" s="46">
        <v>18</v>
      </c>
      <c r="B253" s="2" t="s">
        <v>125</v>
      </c>
      <c r="C253" s="2" t="s">
        <v>79</v>
      </c>
      <c r="D253" s="3"/>
      <c r="E253" s="3"/>
      <c r="F253" s="3"/>
      <c r="G253" s="4">
        <v>2</v>
      </c>
      <c r="H253" s="4">
        <v>7</v>
      </c>
      <c r="I253" s="4">
        <v>6</v>
      </c>
      <c r="J253" s="4">
        <v>6</v>
      </c>
      <c r="K253" s="4">
        <v>18</v>
      </c>
      <c r="L253" s="4">
        <v>8</v>
      </c>
      <c r="M253" s="4">
        <v>31</v>
      </c>
      <c r="N253" s="4">
        <v>14</v>
      </c>
      <c r="O253" s="4">
        <v>14</v>
      </c>
      <c r="P253" s="4">
        <v>17</v>
      </c>
    </row>
    <row r="254" spans="1:16">
      <c r="A254" s="46">
        <v>18</v>
      </c>
      <c r="B254" s="2" t="s">
        <v>125</v>
      </c>
      <c r="C254" s="2" t="s">
        <v>54</v>
      </c>
      <c r="D254" s="3"/>
      <c r="E254" s="3"/>
      <c r="F254" s="3"/>
      <c r="G254" s="4">
        <v>4</v>
      </c>
      <c r="H254" s="4">
        <v>11</v>
      </c>
      <c r="I254" s="4">
        <v>7</v>
      </c>
      <c r="J254" s="4">
        <v>14</v>
      </c>
      <c r="K254" s="4">
        <v>24</v>
      </c>
      <c r="L254" s="4">
        <v>13</v>
      </c>
      <c r="M254" s="4">
        <v>50</v>
      </c>
      <c r="N254" s="4">
        <v>23</v>
      </c>
      <c r="O254" s="4">
        <v>36</v>
      </c>
      <c r="P254" s="4">
        <v>61</v>
      </c>
    </row>
    <row r="255" spans="1:16">
      <c r="A255" s="46">
        <v>18</v>
      </c>
      <c r="B255" s="2" t="s">
        <v>125</v>
      </c>
      <c r="C255" s="2" t="s">
        <v>82</v>
      </c>
      <c r="D255" s="3"/>
      <c r="E255" s="3"/>
      <c r="F255" s="3"/>
      <c r="G255" s="3"/>
      <c r="H255" s="4">
        <v>12</v>
      </c>
      <c r="I255" s="4">
        <v>31</v>
      </c>
      <c r="J255" s="4">
        <v>74</v>
      </c>
      <c r="K255" s="4">
        <v>36</v>
      </c>
      <c r="L255" s="4">
        <v>31</v>
      </c>
      <c r="M255" s="4">
        <v>40</v>
      </c>
      <c r="N255" s="4">
        <v>35</v>
      </c>
      <c r="O255" s="4">
        <v>32</v>
      </c>
      <c r="P255" s="4">
        <v>34</v>
      </c>
    </row>
    <row r="256" spans="1:16">
      <c r="A256" s="46">
        <v>18</v>
      </c>
      <c r="B256" s="2" t="s">
        <v>125</v>
      </c>
      <c r="C256" s="2" t="s">
        <v>84</v>
      </c>
      <c r="D256" s="3"/>
      <c r="E256" s="3"/>
      <c r="F256" s="3"/>
      <c r="G256" s="3"/>
      <c r="H256" s="4">
        <v>1</v>
      </c>
      <c r="I256" s="4">
        <v>11</v>
      </c>
      <c r="J256" s="4">
        <v>52</v>
      </c>
      <c r="K256" s="4">
        <v>30</v>
      </c>
      <c r="L256" s="4">
        <v>6</v>
      </c>
      <c r="M256" s="4">
        <v>4</v>
      </c>
      <c r="N256" s="4">
        <v>18</v>
      </c>
      <c r="O256" s="4">
        <v>-4</v>
      </c>
      <c r="P256" s="4">
        <v>4</v>
      </c>
    </row>
    <row r="257" spans="1:16">
      <c r="A257" s="46">
        <v>18</v>
      </c>
      <c r="B257" s="2" t="s">
        <v>125</v>
      </c>
      <c r="C257" s="2" t="s">
        <v>86</v>
      </c>
      <c r="D257" s="3"/>
      <c r="E257" s="3"/>
      <c r="F257" s="3"/>
      <c r="G257" s="4">
        <v>8</v>
      </c>
      <c r="H257" s="4">
        <v>54</v>
      </c>
      <c r="I257" s="4">
        <v>124</v>
      </c>
      <c r="J257" s="4">
        <v>78</v>
      </c>
      <c r="K257" s="4">
        <v>195</v>
      </c>
      <c r="L257" s="4">
        <v>89</v>
      </c>
      <c r="M257" s="4">
        <v>169</v>
      </c>
      <c r="N257" s="4">
        <v>86</v>
      </c>
      <c r="O257" s="4">
        <v>120</v>
      </c>
      <c r="P257" s="4">
        <v>104</v>
      </c>
    </row>
    <row r="258" spans="1:16">
      <c r="A258" s="46">
        <v>18</v>
      </c>
      <c r="B258" s="2" t="s">
        <v>125</v>
      </c>
      <c r="C258" s="2" t="s">
        <v>214</v>
      </c>
      <c r="D258" s="3"/>
      <c r="E258" s="3"/>
      <c r="F258" s="3"/>
      <c r="G258" s="4">
        <v>4</v>
      </c>
      <c r="H258" s="4">
        <v>4</v>
      </c>
      <c r="I258" s="4">
        <v>8</v>
      </c>
      <c r="J258" s="4">
        <v>26</v>
      </c>
      <c r="K258" s="4">
        <v>16</v>
      </c>
      <c r="L258" s="4">
        <v>8</v>
      </c>
      <c r="M258" s="4">
        <v>2</v>
      </c>
      <c r="N258" s="4">
        <v>20</v>
      </c>
      <c r="O258" s="4">
        <v>33</v>
      </c>
      <c r="P258" s="4">
        <v>14</v>
      </c>
    </row>
    <row r="259" spans="1:16">
      <c r="A259" s="46">
        <v>19</v>
      </c>
      <c r="B259" s="2" t="s">
        <v>127</v>
      </c>
      <c r="C259" s="2" t="s">
        <v>210</v>
      </c>
      <c r="D259" s="4">
        <v>1087</v>
      </c>
      <c r="E259" s="4">
        <v>391</v>
      </c>
      <c r="F259" s="4">
        <v>132</v>
      </c>
      <c r="G259" s="4">
        <v>769</v>
      </c>
      <c r="H259" s="4">
        <v>71</v>
      </c>
      <c r="I259" s="4">
        <v>26</v>
      </c>
      <c r="J259" s="4">
        <v>190</v>
      </c>
      <c r="K259" s="4">
        <v>683</v>
      </c>
      <c r="L259" s="4">
        <v>206</v>
      </c>
      <c r="M259" s="4">
        <v>179</v>
      </c>
      <c r="N259" s="4">
        <v>170</v>
      </c>
      <c r="O259" s="4">
        <v>33</v>
      </c>
      <c r="P259" s="4">
        <v>923</v>
      </c>
    </row>
    <row r="260" spans="1:16">
      <c r="A260" s="46">
        <v>19</v>
      </c>
      <c r="B260" s="2" t="s">
        <v>127</v>
      </c>
      <c r="C260" s="2" t="s">
        <v>211</v>
      </c>
      <c r="D260" s="4">
        <v>52</v>
      </c>
      <c r="E260" s="4">
        <v>243</v>
      </c>
      <c r="F260" s="4">
        <v>93</v>
      </c>
      <c r="G260" s="4">
        <v>257</v>
      </c>
      <c r="H260" s="4">
        <v>31</v>
      </c>
      <c r="I260" s="4">
        <v>166</v>
      </c>
      <c r="J260" s="4">
        <v>4</v>
      </c>
      <c r="K260" s="4">
        <v>89</v>
      </c>
      <c r="L260" s="4">
        <v>47</v>
      </c>
      <c r="M260" s="4">
        <v>292</v>
      </c>
      <c r="N260" s="4">
        <v>53</v>
      </c>
      <c r="O260" s="4">
        <v>13</v>
      </c>
      <c r="P260" s="4">
        <v>23</v>
      </c>
    </row>
    <row r="261" spans="1:16">
      <c r="A261" s="46">
        <v>19</v>
      </c>
      <c r="B261" s="2" t="s">
        <v>127</v>
      </c>
      <c r="C261" s="2" t="s">
        <v>65</v>
      </c>
      <c r="D261" s="4">
        <v>537</v>
      </c>
      <c r="E261" s="4">
        <v>364</v>
      </c>
      <c r="F261" s="4">
        <v>469</v>
      </c>
      <c r="G261" s="4">
        <v>1333</v>
      </c>
      <c r="H261" s="4">
        <v>185</v>
      </c>
      <c r="I261" s="4">
        <v>206</v>
      </c>
      <c r="J261" s="4">
        <v>368</v>
      </c>
      <c r="K261" s="4">
        <v>476</v>
      </c>
      <c r="L261" s="4">
        <v>607</v>
      </c>
      <c r="M261" s="4">
        <v>621</v>
      </c>
      <c r="N261" s="4">
        <v>270</v>
      </c>
      <c r="O261" s="4">
        <v>212</v>
      </c>
      <c r="P261" s="4">
        <v>211</v>
      </c>
    </row>
    <row r="262" spans="1:16">
      <c r="A262" s="46">
        <v>19</v>
      </c>
      <c r="B262" s="2" t="s">
        <v>127</v>
      </c>
      <c r="C262" s="2" t="s">
        <v>67</v>
      </c>
      <c r="D262" s="4">
        <v>636</v>
      </c>
      <c r="E262" s="4">
        <v>3624</v>
      </c>
      <c r="F262" s="4">
        <v>509</v>
      </c>
      <c r="G262" s="4">
        <v>183</v>
      </c>
      <c r="H262" s="4">
        <v>793</v>
      </c>
      <c r="I262" s="4">
        <v>398</v>
      </c>
      <c r="J262" s="4">
        <v>2576</v>
      </c>
      <c r="K262" s="4">
        <v>605</v>
      </c>
      <c r="L262" s="4">
        <v>83</v>
      </c>
      <c r="M262" s="4">
        <v>908</v>
      </c>
      <c r="N262" s="4">
        <v>514</v>
      </c>
      <c r="O262" s="4">
        <v>523</v>
      </c>
      <c r="P262" s="4">
        <v>488</v>
      </c>
    </row>
    <row r="263" spans="1:16">
      <c r="A263" s="46">
        <v>19</v>
      </c>
      <c r="B263" s="2" t="s">
        <v>127</v>
      </c>
      <c r="C263" s="2" t="s">
        <v>69</v>
      </c>
      <c r="D263" s="4">
        <v>79</v>
      </c>
      <c r="E263" s="4">
        <v>76</v>
      </c>
      <c r="F263" s="4">
        <v>149</v>
      </c>
      <c r="G263" s="4">
        <v>47</v>
      </c>
      <c r="H263" s="4">
        <v>69</v>
      </c>
      <c r="I263" s="4">
        <v>415</v>
      </c>
      <c r="J263" s="4">
        <v>26</v>
      </c>
      <c r="K263" s="4">
        <v>458</v>
      </c>
      <c r="L263" s="4">
        <v>48</v>
      </c>
      <c r="M263" s="4">
        <v>12</v>
      </c>
      <c r="N263" s="4">
        <v>60</v>
      </c>
      <c r="O263" s="4">
        <v>0</v>
      </c>
      <c r="P263" s="4">
        <v>10</v>
      </c>
    </row>
    <row r="264" spans="1:16">
      <c r="A264" s="46">
        <v>19</v>
      </c>
      <c r="B264" s="2" t="s">
        <v>127</v>
      </c>
      <c r="C264" s="2" t="s">
        <v>212</v>
      </c>
      <c r="D264" s="4">
        <v>0</v>
      </c>
      <c r="E264" s="4">
        <v>19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3"/>
      <c r="L264" s="4">
        <v>12</v>
      </c>
      <c r="M264" s="3"/>
      <c r="N264" s="4">
        <v>2</v>
      </c>
      <c r="O264" s="4">
        <v>0</v>
      </c>
      <c r="P264" s="3"/>
    </row>
    <row r="265" spans="1:16">
      <c r="A265" s="46">
        <v>19</v>
      </c>
      <c r="B265" s="2" t="s">
        <v>127</v>
      </c>
      <c r="C265" s="2" t="s">
        <v>73</v>
      </c>
      <c r="D265" s="4">
        <v>2732</v>
      </c>
      <c r="E265" s="4">
        <v>3351</v>
      </c>
      <c r="F265" s="4">
        <v>3033</v>
      </c>
      <c r="G265" s="4">
        <v>2760</v>
      </c>
      <c r="H265" s="4">
        <v>1933</v>
      </c>
      <c r="I265" s="4">
        <v>2514</v>
      </c>
      <c r="J265" s="4">
        <v>2038</v>
      </c>
      <c r="K265" s="4">
        <v>2083</v>
      </c>
      <c r="L265" s="4">
        <v>1968</v>
      </c>
      <c r="M265" s="4">
        <v>2062</v>
      </c>
      <c r="N265" s="4">
        <v>1280</v>
      </c>
      <c r="O265" s="4">
        <v>2545</v>
      </c>
      <c r="P265" s="4">
        <v>1996</v>
      </c>
    </row>
    <row r="266" spans="1:16">
      <c r="A266" s="46">
        <v>19</v>
      </c>
      <c r="B266" s="2" t="s">
        <v>127</v>
      </c>
      <c r="C266" s="2" t="s">
        <v>213</v>
      </c>
      <c r="D266" s="4">
        <v>41</v>
      </c>
      <c r="E266" s="4">
        <v>75</v>
      </c>
      <c r="F266" s="4">
        <v>44</v>
      </c>
      <c r="G266" s="4">
        <v>41</v>
      </c>
      <c r="H266" s="4">
        <v>31</v>
      </c>
      <c r="I266" s="4">
        <v>8</v>
      </c>
      <c r="J266" s="4">
        <v>78</v>
      </c>
      <c r="K266" s="4">
        <v>144</v>
      </c>
      <c r="L266" s="4">
        <v>200</v>
      </c>
      <c r="M266" s="4">
        <v>127</v>
      </c>
      <c r="N266" s="4">
        <v>253</v>
      </c>
      <c r="O266" s="4">
        <v>66</v>
      </c>
      <c r="P266" s="4">
        <v>79</v>
      </c>
    </row>
    <row r="267" spans="1:16">
      <c r="A267" s="46">
        <v>19</v>
      </c>
      <c r="B267" s="2" t="s">
        <v>127</v>
      </c>
      <c r="C267" s="2" t="s">
        <v>77</v>
      </c>
      <c r="D267" s="4">
        <v>1071</v>
      </c>
      <c r="E267" s="4">
        <v>1186</v>
      </c>
      <c r="F267" s="4">
        <v>656</v>
      </c>
      <c r="G267" s="4">
        <v>705</v>
      </c>
      <c r="H267" s="4">
        <v>566</v>
      </c>
      <c r="I267" s="4">
        <v>464</v>
      </c>
      <c r="J267" s="4">
        <v>526</v>
      </c>
      <c r="K267" s="4">
        <v>539</v>
      </c>
      <c r="L267" s="4">
        <v>756</v>
      </c>
      <c r="M267" s="4">
        <v>930</v>
      </c>
      <c r="N267" s="4">
        <v>778</v>
      </c>
      <c r="O267" s="4">
        <v>606</v>
      </c>
      <c r="P267" s="4">
        <v>826</v>
      </c>
    </row>
    <row r="268" spans="1:16">
      <c r="A268" s="46">
        <v>19</v>
      </c>
      <c r="B268" s="2" t="s">
        <v>127</v>
      </c>
      <c r="C268" s="2" t="s">
        <v>79</v>
      </c>
      <c r="D268" s="4">
        <v>298</v>
      </c>
      <c r="E268" s="4">
        <v>361</v>
      </c>
      <c r="F268" s="4">
        <v>198</v>
      </c>
      <c r="G268" s="4">
        <v>401</v>
      </c>
      <c r="H268" s="4">
        <v>129</v>
      </c>
      <c r="I268" s="4">
        <v>372</v>
      </c>
      <c r="J268" s="4">
        <v>158</v>
      </c>
      <c r="K268" s="4">
        <v>281</v>
      </c>
      <c r="L268" s="4">
        <v>179</v>
      </c>
      <c r="M268" s="4">
        <v>383</v>
      </c>
      <c r="N268" s="4">
        <v>39</v>
      </c>
      <c r="O268" s="4">
        <v>29</v>
      </c>
      <c r="P268" s="4">
        <v>235</v>
      </c>
    </row>
    <row r="269" spans="1:16">
      <c r="A269" s="46">
        <v>19</v>
      </c>
      <c r="B269" s="2" t="s">
        <v>127</v>
      </c>
      <c r="C269" s="2" t="s">
        <v>54</v>
      </c>
      <c r="D269" s="4">
        <v>483</v>
      </c>
      <c r="E269" s="4">
        <v>64</v>
      </c>
      <c r="F269" s="4">
        <v>256</v>
      </c>
      <c r="G269" s="4">
        <v>105</v>
      </c>
      <c r="H269" s="4">
        <v>-14</v>
      </c>
      <c r="I269" s="4">
        <v>53</v>
      </c>
      <c r="J269" s="4">
        <v>121</v>
      </c>
      <c r="K269" s="4">
        <v>4</v>
      </c>
      <c r="L269" s="3"/>
      <c r="M269" s="4">
        <v>22</v>
      </c>
      <c r="N269" s="4">
        <v>486</v>
      </c>
      <c r="O269" s="4">
        <v>203</v>
      </c>
      <c r="P269" s="4">
        <v>114</v>
      </c>
    </row>
    <row r="270" spans="1:16">
      <c r="A270" s="46">
        <v>19</v>
      </c>
      <c r="B270" s="2" t="s">
        <v>127</v>
      </c>
      <c r="C270" s="2" t="s">
        <v>82</v>
      </c>
      <c r="D270" s="4">
        <v>99</v>
      </c>
      <c r="E270" s="4">
        <v>171</v>
      </c>
      <c r="F270" s="4">
        <v>500</v>
      </c>
      <c r="G270" s="4">
        <v>131</v>
      </c>
      <c r="H270" s="4">
        <v>93</v>
      </c>
      <c r="I270" s="4">
        <v>101</v>
      </c>
      <c r="J270" s="4">
        <v>73</v>
      </c>
      <c r="K270" s="4">
        <v>78</v>
      </c>
      <c r="L270" s="4">
        <v>182</v>
      </c>
      <c r="M270" s="4">
        <v>74</v>
      </c>
      <c r="N270" s="4">
        <v>315</v>
      </c>
      <c r="O270" s="4">
        <v>293</v>
      </c>
      <c r="P270" s="4">
        <v>200</v>
      </c>
    </row>
    <row r="271" spans="1:16">
      <c r="A271" s="46">
        <v>19</v>
      </c>
      <c r="B271" s="2" t="s">
        <v>127</v>
      </c>
      <c r="C271" s="2" t="s">
        <v>84</v>
      </c>
      <c r="D271" s="4">
        <v>462</v>
      </c>
      <c r="E271" s="4">
        <v>1807</v>
      </c>
      <c r="F271" s="4">
        <v>146</v>
      </c>
      <c r="G271" s="4">
        <v>180</v>
      </c>
      <c r="H271" s="4">
        <v>146</v>
      </c>
      <c r="I271" s="4">
        <v>1125</v>
      </c>
      <c r="J271" s="4">
        <v>112</v>
      </c>
      <c r="K271" s="4">
        <v>303</v>
      </c>
      <c r="L271" s="4">
        <v>72</v>
      </c>
      <c r="M271" s="4">
        <v>60</v>
      </c>
      <c r="N271" s="4">
        <v>2262</v>
      </c>
      <c r="O271" s="4">
        <v>3137</v>
      </c>
      <c r="P271" s="4">
        <v>45</v>
      </c>
    </row>
    <row r="272" spans="1:16">
      <c r="A272" s="46">
        <v>19</v>
      </c>
      <c r="B272" s="2" t="s">
        <v>127</v>
      </c>
      <c r="C272" s="2" t="s">
        <v>86</v>
      </c>
      <c r="D272" s="4">
        <v>1052</v>
      </c>
      <c r="E272" s="4">
        <v>3840</v>
      </c>
      <c r="F272" s="4">
        <v>4280</v>
      </c>
      <c r="G272" s="4">
        <v>2030</v>
      </c>
      <c r="H272" s="4">
        <v>3223</v>
      </c>
      <c r="I272" s="4">
        <v>2532</v>
      </c>
      <c r="J272" s="4">
        <v>2332</v>
      </c>
      <c r="K272" s="4">
        <v>2638</v>
      </c>
      <c r="L272" s="4">
        <v>2240</v>
      </c>
      <c r="M272" s="4">
        <v>2122</v>
      </c>
      <c r="N272" s="4">
        <v>3198</v>
      </c>
      <c r="O272" s="4">
        <v>1228</v>
      </c>
      <c r="P272" s="4">
        <v>1967</v>
      </c>
    </row>
    <row r="273" spans="1:16">
      <c r="A273" s="46">
        <v>19</v>
      </c>
      <c r="B273" s="2" t="s">
        <v>127</v>
      </c>
      <c r="C273" s="2" t="s">
        <v>214</v>
      </c>
      <c r="D273" s="4">
        <v>466</v>
      </c>
      <c r="E273" s="4">
        <v>379</v>
      </c>
      <c r="F273" s="4">
        <v>226</v>
      </c>
      <c r="G273" s="4">
        <v>166</v>
      </c>
      <c r="H273" s="4">
        <v>561</v>
      </c>
      <c r="I273" s="4">
        <v>262</v>
      </c>
      <c r="J273" s="4">
        <v>151</v>
      </c>
      <c r="K273" s="4">
        <v>489</v>
      </c>
      <c r="L273" s="4">
        <v>377</v>
      </c>
      <c r="M273" s="4">
        <v>363</v>
      </c>
      <c r="N273" s="4">
        <v>239</v>
      </c>
      <c r="O273" s="4">
        <v>647</v>
      </c>
      <c r="P273" s="4">
        <v>144</v>
      </c>
    </row>
    <row r="274" spans="1:16">
      <c r="A274" s="46">
        <v>20</v>
      </c>
      <c r="B274" s="2" t="s">
        <v>129</v>
      </c>
      <c r="C274" s="2" t="s">
        <v>210</v>
      </c>
      <c r="D274" s="4">
        <v>4</v>
      </c>
      <c r="E274" s="4">
        <v>6</v>
      </c>
      <c r="F274" s="4">
        <v>6</v>
      </c>
      <c r="G274" s="4">
        <v>7</v>
      </c>
      <c r="H274" s="4">
        <v>9</v>
      </c>
      <c r="I274" s="4">
        <v>14</v>
      </c>
      <c r="J274" s="4">
        <v>26</v>
      </c>
      <c r="K274" s="4">
        <v>12</v>
      </c>
      <c r="L274" s="4">
        <v>0</v>
      </c>
      <c r="M274" s="3"/>
      <c r="N274" s="4">
        <v>6</v>
      </c>
      <c r="O274" s="4">
        <v>5</v>
      </c>
      <c r="P274" s="4">
        <v>0</v>
      </c>
    </row>
    <row r="275" spans="1:16">
      <c r="A275" s="46">
        <v>20</v>
      </c>
      <c r="B275" s="2" t="s">
        <v>129</v>
      </c>
      <c r="C275" s="2" t="s">
        <v>211</v>
      </c>
      <c r="D275" s="4">
        <v>0</v>
      </c>
      <c r="E275" s="4">
        <v>8</v>
      </c>
      <c r="F275" s="4">
        <v>20</v>
      </c>
      <c r="G275" s="4">
        <v>0</v>
      </c>
      <c r="H275" s="4">
        <v>8</v>
      </c>
      <c r="I275" s="4">
        <v>11</v>
      </c>
      <c r="J275" s="4">
        <v>2</v>
      </c>
      <c r="K275" s="4">
        <v>4</v>
      </c>
      <c r="L275" s="4">
        <v>40</v>
      </c>
      <c r="M275" s="3"/>
      <c r="N275" s="4">
        <v>0</v>
      </c>
      <c r="O275" s="4">
        <v>32</v>
      </c>
      <c r="P275" s="4">
        <v>22</v>
      </c>
    </row>
    <row r="276" spans="1:16">
      <c r="A276" s="46">
        <v>20</v>
      </c>
      <c r="B276" s="2" t="s">
        <v>129</v>
      </c>
      <c r="C276" s="2" t="s">
        <v>65</v>
      </c>
      <c r="D276" s="4">
        <v>-1</v>
      </c>
      <c r="E276" s="4">
        <v>24</v>
      </c>
      <c r="F276" s="4">
        <v>30</v>
      </c>
      <c r="G276" s="4">
        <v>32</v>
      </c>
      <c r="H276" s="4">
        <v>31</v>
      </c>
      <c r="I276" s="4">
        <v>18</v>
      </c>
      <c r="J276" s="4">
        <v>146</v>
      </c>
      <c r="K276" s="4">
        <v>258</v>
      </c>
      <c r="L276" s="4">
        <v>314</v>
      </c>
      <c r="M276" s="4">
        <v>275</v>
      </c>
      <c r="N276" s="4">
        <v>327</v>
      </c>
      <c r="O276" s="4">
        <v>180</v>
      </c>
      <c r="P276" s="4">
        <v>238</v>
      </c>
    </row>
    <row r="277" spans="1:16">
      <c r="A277" s="46">
        <v>20</v>
      </c>
      <c r="B277" s="2" t="s">
        <v>129</v>
      </c>
      <c r="C277" s="2" t="s">
        <v>67</v>
      </c>
      <c r="D277" s="4">
        <v>37</v>
      </c>
      <c r="E277" s="4">
        <v>30</v>
      </c>
      <c r="F277" s="4">
        <v>48</v>
      </c>
      <c r="G277" s="4">
        <v>30</v>
      </c>
      <c r="H277" s="4">
        <v>38</v>
      </c>
      <c r="I277" s="4">
        <v>62</v>
      </c>
      <c r="J277" s="4">
        <v>15</v>
      </c>
      <c r="K277" s="4">
        <v>38</v>
      </c>
      <c r="L277" s="4">
        <v>100</v>
      </c>
      <c r="M277" s="4">
        <v>24</v>
      </c>
      <c r="N277" s="4">
        <v>60</v>
      </c>
      <c r="O277" s="4">
        <v>33</v>
      </c>
      <c r="P277" s="4">
        <v>80</v>
      </c>
    </row>
    <row r="278" spans="1:16">
      <c r="A278" s="46">
        <v>20</v>
      </c>
      <c r="B278" s="2" t="s">
        <v>129</v>
      </c>
      <c r="C278" s="2" t="s">
        <v>69</v>
      </c>
      <c r="D278" s="4">
        <v>1</v>
      </c>
      <c r="E278" s="4">
        <v>4</v>
      </c>
      <c r="F278" s="4">
        <v>6</v>
      </c>
      <c r="G278" s="4">
        <v>18</v>
      </c>
      <c r="H278" s="4">
        <v>6</v>
      </c>
      <c r="I278" s="4">
        <v>6</v>
      </c>
      <c r="J278" s="4">
        <v>8</v>
      </c>
      <c r="K278" s="4">
        <v>6</v>
      </c>
      <c r="L278" s="4">
        <v>6</v>
      </c>
      <c r="M278" s="4">
        <v>32</v>
      </c>
      <c r="N278" s="4">
        <v>6</v>
      </c>
      <c r="O278" s="4">
        <v>0</v>
      </c>
      <c r="P278" s="4">
        <v>6</v>
      </c>
    </row>
    <row r="279" spans="1:16">
      <c r="A279" s="46">
        <v>20</v>
      </c>
      <c r="B279" s="2" t="s">
        <v>129</v>
      </c>
      <c r="C279" s="2" t="s">
        <v>212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4">
        <v>2</v>
      </c>
      <c r="P279" s="4">
        <v>0</v>
      </c>
    </row>
    <row r="280" spans="1:16">
      <c r="A280" s="46">
        <v>20</v>
      </c>
      <c r="B280" s="2" t="s">
        <v>129</v>
      </c>
      <c r="C280" s="2" t="s">
        <v>73</v>
      </c>
      <c r="D280" s="4">
        <v>44</v>
      </c>
      <c r="E280" s="4">
        <v>10</v>
      </c>
      <c r="F280" s="4">
        <v>18</v>
      </c>
      <c r="G280" s="4">
        <v>21</v>
      </c>
      <c r="H280" s="4">
        <v>12</v>
      </c>
      <c r="I280" s="4">
        <v>16</v>
      </c>
      <c r="J280" s="4">
        <v>75</v>
      </c>
      <c r="K280" s="4">
        <v>28</v>
      </c>
      <c r="L280" s="4">
        <v>18</v>
      </c>
      <c r="M280" s="4">
        <v>30</v>
      </c>
      <c r="N280" s="4">
        <v>23</v>
      </c>
      <c r="O280" s="4">
        <v>12</v>
      </c>
      <c r="P280" s="4">
        <v>26</v>
      </c>
    </row>
    <row r="281" spans="1:16">
      <c r="A281" s="46">
        <v>20</v>
      </c>
      <c r="B281" s="2" t="s">
        <v>129</v>
      </c>
      <c r="C281" s="2" t="s">
        <v>213</v>
      </c>
      <c r="D281" s="3"/>
      <c r="E281" s="4">
        <v>0</v>
      </c>
      <c r="F281" s="4">
        <v>10</v>
      </c>
      <c r="G281" s="4">
        <v>2</v>
      </c>
      <c r="H281" s="3"/>
      <c r="I281" s="4">
        <v>2</v>
      </c>
      <c r="J281" s="4">
        <v>6</v>
      </c>
      <c r="K281" s="4">
        <v>2</v>
      </c>
      <c r="L281" s="4">
        <v>2</v>
      </c>
      <c r="M281" s="4">
        <v>4</v>
      </c>
      <c r="N281" s="4">
        <v>2</v>
      </c>
      <c r="O281" s="3"/>
      <c r="P281" s="4">
        <v>4</v>
      </c>
    </row>
    <row r="282" spans="1:16">
      <c r="A282" s="46">
        <v>20</v>
      </c>
      <c r="B282" s="2" t="s">
        <v>129</v>
      </c>
      <c r="C282" s="2" t="s">
        <v>77</v>
      </c>
      <c r="D282" s="4">
        <v>-116</v>
      </c>
      <c r="E282" s="4">
        <v>2</v>
      </c>
      <c r="F282" s="4">
        <v>10</v>
      </c>
      <c r="G282" s="4">
        <v>15</v>
      </c>
      <c r="H282" s="4">
        <v>14</v>
      </c>
      <c r="I282" s="4">
        <v>21</v>
      </c>
      <c r="J282" s="4">
        <v>14</v>
      </c>
      <c r="K282" s="4">
        <v>18</v>
      </c>
      <c r="L282" s="4">
        <v>41</v>
      </c>
      <c r="M282" s="4">
        <v>14</v>
      </c>
      <c r="N282" s="4">
        <v>52</v>
      </c>
      <c r="O282" s="4">
        <v>53</v>
      </c>
      <c r="P282" s="4">
        <v>14</v>
      </c>
    </row>
    <row r="283" spans="1:16">
      <c r="A283" s="46">
        <v>20</v>
      </c>
      <c r="B283" s="2" t="s">
        <v>129</v>
      </c>
      <c r="C283" s="2" t="s">
        <v>79</v>
      </c>
      <c r="D283" s="3"/>
      <c r="E283" s="4">
        <v>24</v>
      </c>
      <c r="F283" s="4">
        <v>0</v>
      </c>
      <c r="G283" s="4">
        <v>2</v>
      </c>
      <c r="H283" s="3"/>
      <c r="I283" s="4">
        <v>6</v>
      </c>
      <c r="J283" s="4">
        <v>0</v>
      </c>
      <c r="K283" s="4">
        <v>8</v>
      </c>
      <c r="L283" s="4">
        <v>14</v>
      </c>
      <c r="M283" s="4">
        <v>18</v>
      </c>
      <c r="N283" s="4">
        <v>6</v>
      </c>
      <c r="O283" s="4">
        <v>15</v>
      </c>
      <c r="P283" s="4">
        <v>29</v>
      </c>
    </row>
    <row r="284" spans="1:16">
      <c r="A284" s="46">
        <v>20</v>
      </c>
      <c r="B284" s="2" t="s">
        <v>129</v>
      </c>
      <c r="C284" s="2" t="s">
        <v>54</v>
      </c>
      <c r="D284" s="4">
        <v>17</v>
      </c>
      <c r="E284" s="4">
        <v>12</v>
      </c>
      <c r="F284" s="4">
        <v>0</v>
      </c>
      <c r="G284" s="4">
        <v>6</v>
      </c>
      <c r="H284" s="4">
        <v>14</v>
      </c>
      <c r="I284" s="4">
        <v>12</v>
      </c>
      <c r="J284" s="4">
        <v>2</v>
      </c>
      <c r="K284" s="4">
        <v>12</v>
      </c>
      <c r="L284" s="4">
        <v>19</v>
      </c>
      <c r="M284" s="4">
        <v>0</v>
      </c>
      <c r="N284" s="4">
        <v>5</v>
      </c>
      <c r="O284" s="4">
        <v>20</v>
      </c>
      <c r="P284" s="4">
        <v>18</v>
      </c>
    </row>
    <row r="285" spans="1:16">
      <c r="A285" s="46">
        <v>20</v>
      </c>
      <c r="B285" s="2" t="s">
        <v>129</v>
      </c>
      <c r="C285" s="2" t="s">
        <v>82</v>
      </c>
      <c r="D285" s="4">
        <v>1</v>
      </c>
      <c r="E285" s="4">
        <v>4</v>
      </c>
      <c r="F285" s="4">
        <v>7</v>
      </c>
      <c r="G285" s="4">
        <v>4</v>
      </c>
      <c r="H285" s="4">
        <v>4</v>
      </c>
      <c r="I285" s="3"/>
      <c r="J285" s="4">
        <v>18</v>
      </c>
      <c r="K285" s="4">
        <v>14</v>
      </c>
      <c r="L285" s="4">
        <v>14</v>
      </c>
      <c r="M285" s="4">
        <v>61</v>
      </c>
      <c r="N285" s="4">
        <v>12</v>
      </c>
      <c r="O285" s="4">
        <v>25</v>
      </c>
      <c r="P285" s="4">
        <v>8</v>
      </c>
    </row>
    <row r="286" spans="1:16">
      <c r="A286" s="46">
        <v>20</v>
      </c>
      <c r="B286" s="2" t="s">
        <v>129</v>
      </c>
      <c r="C286" s="2" t="s">
        <v>84</v>
      </c>
      <c r="D286" s="4">
        <v>8</v>
      </c>
      <c r="E286" s="4">
        <v>0</v>
      </c>
      <c r="F286" s="4">
        <v>2</v>
      </c>
      <c r="G286" s="4">
        <v>8</v>
      </c>
      <c r="H286" s="4">
        <v>0</v>
      </c>
      <c r="I286" s="4">
        <v>30</v>
      </c>
      <c r="J286" s="4">
        <v>8</v>
      </c>
      <c r="K286" s="4">
        <v>26</v>
      </c>
      <c r="L286" s="4">
        <v>0</v>
      </c>
      <c r="M286" s="4">
        <v>6</v>
      </c>
      <c r="N286" s="4">
        <v>7</v>
      </c>
      <c r="O286" s="4">
        <v>8</v>
      </c>
      <c r="P286" s="4">
        <v>0</v>
      </c>
    </row>
    <row r="287" spans="1:16">
      <c r="A287" s="46">
        <v>20</v>
      </c>
      <c r="B287" s="2" t="s">
        <v>129</v>
      </c>
      <c r="C287" s="2" t="s">
        <v>86</v>
      </c>
      <c r="D287" s="4">
        <v>18</v>
      </c>
      <c r="E287" s="4">
        <v>4</v>
      </c>
      <c r="F287" s="4">
        <v>32</v>
      </c>
      <c r="G287" s="4">
        <v>24</v>
      </c>
      <c r="H287" s="4">
        <v>8</v>
      </c>
      <c r="I287" s="4">
        <v>18</v>
      </c>
      <c r="J287" s="4">
        <v>41</v>
      </c>
      <c r="K287" s="4">
        <v>18</v>
      </c>
      <c r="L287" s="4">
        <v>9</v>
      </c>
      <c r="M287" s="4">
        <v>42</v>
      </c>
      <c r="N287" s="4">
        <v>19</v>
      </c>
      <c r="O287" s="4">
        <v>48</v>
      </c>
      <c r="P287" s="4">
        <v>59</v>
      </c>
    </row>
    <row r="288" spans="1:16">
      <c r="A288" s="46">
        <v>20</v>
      </c>
      <c r="B288" s="2" t="s">
        <v>129</v>
      </c>
      <c r="C288" s="2" t="s">
        <v>214</v>
      </c>
      <c r="D288" s="3"/>
      <c r="E288" s="4">
        <v>0</v>
      </c>
      <c r="F288" s="4">
        <v>6</v>
      </c>
      <c r="G288" s="4">
        <v>6</v>
      </c>
      <c r="H288" s="4">
        <v>3</v>
      </c>
      <c r="I288" s="4">
        <v>2</v>
      </c>
      <c r="J288" s="4">
        <v>0</v>
      </c>
      <c r="K288" s="4">
        <v>6</v>
      </c>
      <c r="L288" s="4">
        <v>0</v>
      </c>
      <c r="M288" s="4">
        <v>2</v>
      </c>
      <c r="N288" s="4">
        <v>0</v>
      </c>
      <c r="O288" s="4">
        <v>8</v>
      </c>
      <c r="P288" s="4">
        <v>2</v>
      </c>
    </row>
    <row r="289" spans="1:16">
      <c r="A289" s="46">
        <v>21</v>
      </c>
      <c r="B289" s="2" t="s">
        <v>131</v>
      </c>
      <c r="C289" s="2" t="s">
        <v>210</v>
      </c>
      <c r="D289" s="4">
        <v>20</v>
      </c>
      <c r="E289" s="4">
        <v>33</v>
      </c>
      <c r="F289" s="4">
        <v>25</v>
      </c>
      <c r="G289" s="4">
        <v>41</v>
      </c>
      <c r="H289" s="4">
        <v>5</v>
      </c>
      <c r="I289" s="4">
        <v>10</v>
      </c>
      <c r="J289" s="4">
        <v>34</v>
      </c>
      <c r="K289" s="4">
        <v>13</v>
      </c>
      <c r="L289" s="4">
        <v>8</v>
      </c>
      <c r="M289" s="4">
        <v>28</v>
      </c>
      <c r="N289" s="4">
        <v>10</v>
      </c>
      <c r="O289" s="4">
        <v>42</v>
      </c>
      <c r="P289" s="4">
        <v>24</v>
      </c>
    </row>
    <row r="290" spans="1:16">
      <c r="A290" s="46">
        <v>21</v>
      </c>
      <c r="B290" s="2" t="s">
        <v>131</v>
      </c>
      <c r="C290" s="2" t="s">
        <v>211</v>
      </c>
      <c r="D290" s="3"/>
      <c r="E290" s="3"/>
      <c r="F290" s="3"/>
      <c r="G290" s="4">
        <v>2</v>
      </c>
      <c r="H290" s="4">
        <v>0</v>
      </c>
      <c r="I290" s="3"/>
      <c r="J290" s="3"/>
      <c r="K290" s="4">
        <v>12</v>
      </c>
      <c r="L290" s="4">
        <v>3</v>
      </c>
      <c r="M290" s="4">
        <v>2</v>
      </c>
      <c r="N290" s="4">
        <v>0</v>
      </c>
      <c r="O290" s="4">
        <v>10</v>
      </c>
      <c r="P290" s="3"/>
    </row>
    <row r="291" spans="1:16">
      <c r="A291" s="46">
        <v>21</v>
      </c>
      <c r="B291" s="2" t="s">
        <v>131</v>
      </c>
      <c r="C291" s="2" t="s">
        <v>65</v>
      </c>
      <c r="D291" s="4">
        <v>2</v>
      </c>
      <c r="E291" s="4">
        <v>2</v>
      </c>
      <c r="F291" s="4">
        <v>20</v>
      </c>
      <c r="G291" s="4">
        <v>3</v>
      </c>
      <c r="H291" s="4">
        <v>3</v>
      </c>
      <c r="I291" s="4">
        <v>4</v>
      </c>
      <c r="J291" s="4">
        <v>11</v>
      </c>
      <c r="K291" s="4">
        <v>14</v>
      </c>
      <c r="L291" s="4">
        <v>8</v>
      </c>
      <c r="M291" s="4">
        <v>25</v>
      </c>
      <c r="N291" s="4">
        <v>38</v>
      </c>
      <c r="O291" s="4">
        <v>21</v>
      </c>
      <c r="P291" s="4">
        <v>10</v>
      </c>
    </row>
    <row r="292" spans="1:16">
      <c r="A292" s="46">
        <v>21</v>
      </c>
      <c r="B292" s="2" t="s">
        <v>131</v>
      </c>
      <c r="C292" s="2" t="s">
        <v>67</v>
      </c>
      <c r="D292" s="4">
        <v>10</v>
      </c>
      <c r="E292" s="4">
        <v>33</v>
      </c>
      <c r="F292" s="4">
        <v>5</v>
      </c>
      <c r="G292" s="4">
        <v>1</v>
      </c>
      <c r="H292" s="4">
        <v>37</v>
      </c>
      <c r="I292" s="4">
        <v>15</v>
      </c>
      <c r="J292" s="4">
        <v>28</v>
      </c>
      <c r="K292" s="4">
        <v>24</v>
      </c>
      <c r="L292" s="4">
        <v>15</v>
      </c>
      <c r="M292" s="4">
        <v>64</v>
      </c>
      <c r="N292" s="4">
        <v>22</v>
      </c>
      <c r="O292" s="4">
        <v>52</v>
      </c>
      <c r="P292" s="4">
        <v>100</v>
      </c>
    </row>
    <row r="293" spans="1:16">
      <c r="A293" s="46">
        <v>21</v>
      </c>
      <c r="B293" s="2" t="s">
        <v>131</v>
      </c>
      <c r="C293" s="2" t="s">
        <v>69</v>
      </c>
      <c r="D293" s="4">
        <v>0</v>
      </c>
      <c r="E293" s="4">
        <v>6</v>
      </c>
      <c r="F293" s="4">
        <v>0</v>
      </c>
      <c r="G293" s="3"/>
      <c r="H293" s="4">
        <v>2</v>
      </c>
      <c r="I293" s="4">
        <v>6</v>
      </c>
      <c r="J293" s="4">
        <v>3</v>
      </c>
      <c r="K293" s="4">
        <v>5</v>
      </c>
      <c r="L293" s="4">
        <v>2</v>
      </c>
      <c r="M293" s="4">
        <v>4</v>
      </c>
      <c r="N293" s="4">
        <v>11</v>
      </c>
      <c r="O293" s="4">
        <v>6</v>
      </c>
      <c r="P293" s="4">
        <v>15</v>
      </c>
    </row>
    <row r="294" spans="1:16">
      <c r="A294" s="46">
        <v>21</v>
      </c>
      <c r="B294" s="2" t="s">
        <v>131</v>
      </c>
      <c r="C294" s="2" t="s">
        <v>212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4">
        <v>8</v>
      </c>
      <c r="O294" s="3"/>
      <c r="P294" s="3"/>
    </row>
    <row r="295" spans="1:16">
      <c r="A295" s="46">
        <v>21</v>
      </c>
      <c r="B295" s="2" t="s">
        <v>131</v>
      </c>
      <c r="C295" s="2" t="s">
        <v>73</v>
      </c>
      <c r="D295" s="4">
        <v>12</v>
      </c>
      <c r="E295" s="4">
        <v>3</v>
      </c>
      <c r="F295" s="4">
        <v>5</v>
      </c>
      <c r="G295" s="4">
        <v>10</v>
      </c>
      <c r="H295" s="4">
        <v>2</v>
      </c>
      <c r="I295" s="4">
        <v>4</v>
      </c>
      <c r="J295" s="4">
        <v>8</v>
      </c>
      <c r="K295" s="4">
        <v>8</v>
      </c>
      <c r="L295" s="4">
        <v>9</v>
      </c>
      <c r="M295" s="4">
        <v>16</v>
      </c>
      <c r="N295" s="4">
        <v>29</v>
      </c>
      <c r="O295" s="4">
        <v>5</v>
      </c>
      <c r="P295" s="4">
        <v>8</v>
      </c>
    </row>
    <row r="296" spans="1:16">
      <c r="A296" s="46">
        <v>21</v>
      </c>
      <c r="B296" s="2" t="s">
        <v>131</v>
      </c>
      <c r="C296" s="2" t="s">
        <v>213</v>
      </c>
      <c r="D296" s="4">
        <v>19</v>
      </c>
      <c r="E296" s="3"/>
      <c r="F296" s="3"/>
      <c r="G296" s="3"/>
      <c r="H296" s="4">
        <v>1</v>
      </c>
      <c r="I296" s="4">
        <v>6</v>
      </c>
      <c r="J296" s="4">
        <v>4</v>
      </c>
      <c r="K296" s="4">
        <v>2</v>
      </c>
      <c r="L296" s="4">
        <v>4</v>
      </c>
      <c r="M296" s="4">
        <v>4</v>
      </c>
      <c r="N296" s="4">
        <v>14</v>
      </c>
      <c r="O296" s="4">
        <v>14</v>
      </c>
      <c r="P296" s="4">
        <v>2</v>
      </c>
    </row>
    <row r="297" spans="1:16">
      <c r="A297" s="46">
        <v>21</v>
      </c>
      <c r="B297" s="2" t="s">
        <v>131</v>
      </c>
      <c r="C297" s="2" t="s">
        <v>77</v>
      </c>
      <c r="D297" s="4">
        <v>5</v>
      </c>
      <c r="E297" s="4">
        <v>36</v>
      </c>
      <c r="F297" s="4">
        <v>24</v>
      </c>
      <c r="G297" s="4">
        <v>2</v>
      </c>
      <c r="H297" s="4">
        <v>10</v>
      </c>
      <c r="I297" s="4">
        <v>58</v>
      </c>
      <c r="J297" s="4">
        <v>-14</v>
      </c>
      <c r="K297" s="4">
        <v>29</v>
      </c>
      <c r="L297" s="4">
        <v>2</v>
      </c>
      <c r="M297" s="4">
        <v>26</v>
      </c>
      <c r="N297" s="4">
        <v>30</v>
      </c>
      <c r="O297" s="4">
        <v>42</v>
      </c>
      <c r="P297" s="4">
        <v>5</v>
      </c>
    </row>
    <row r="298" spans="1:16">
      <c r="A298" s="46">
        <v>21</v>
      </c>
      <c r="B298" s="2" t="s">
        <v>131</v>
      </c>
      <c r="C298" s="2" t="s">
        <v>79</v>
      </c>
      <c r="D298" s="3"/>
      <c r="E298" s="3"/>
      <c r="F298" s="4">
        <v>8</v>
      </c>
      <c r="G298" s="4">
        <v>12</v>
      </c>
      <c r="H298" s="4">
        <v>0</v>
      </c>
      <c r="I298" s="4">
        <v>6</v>
      </c>
      <c r="J298" s="4">
        <v>0</v>
      </c>
      <c r="K298" s="3"/>
      <c r="L298" s="4">
        <v>4</v>
      </c>
      <c r="M298" s="4">
        <v>4</v>
      </c>
      <c r="N298" s="4">
        <v>2</v>
      </c>
      <c r="O298" s="4">
        <v>0</v>
      </c>
      <c r="P298" s="4">
        <v>3</v>
      </c>
    </row>
    <row r="299" spans="1:16">
      <c r="A299" s="46">
        <v>21</v>
      </c>
      <c r="B299" s="2" t="s">
        <v>131</v>
      </c>
      <c r="C299" s="2" t="s">
        <v>54</v>
      </c>
      <c r="D299" s="3"/>
      <c r="E299" s="3"/>
      <c r="F299" s="3"/>
      <c r="G299" s="3"/>
      <c r="H299" s="3"/>
      <c r="I299" s="4">
        <v>9</v>
      </c>
      <c r="J299" s="4">
        <v>5</v>
      </c>
      <c r="K299" s="4">
        <v>2</v>
      </c>
      <c r="L299" s="4">
        <v>2</v>
      </c>
      <c r="M299" s="4">
        <v>2</v>
      </c>
      <c r="N299" s="4">
        <v>18</v>
      </c>
      <c r="O299" s="4">
        <v>4</v>
      </c>
      <c r="P299" s="4">
        <v>0</v>
      </c>
    </row>
    <row r="300" spans="1:16">
      <c r="A300" s="46">
        <v>21</v>
      </c>
      <c r="B300" s="2" t="s">
        <v>131</v>
      </c>
      <c r="C300" s="2" t="s">
        <v>82</v>
      </c>
      <c r="D300" s="4">
        <v>6</v>
      </c>
      <c r="E300" s="4">
        <v>1</v>
      </c>
      <c r="F300" s="3"/>
      <c r="G300" s="4">
        <v>0</v>
      </c>
      <c r="H300" s="4">
        <v>6</v>
      </c>
      <c r="I300" s="4">
        <v>1</v>
      </c>
      <c r="J300" s="4">
        <v>4</v>
      </c>
      <c r="K300" s="4">
        <v>4</v>
      </c>
      <c r="L300" s="4">
        <v>1</v>
      </c>
      <c r="M300" s="4">
        <v>0</v>
      </c>
      <c r="N300" s="4">
        <v>2</v>
      </c>
      <c r="O300" s="4">
        <v>2</v>
      </c>
      <c r="P300" s="4">
        <v>20</v>
      </c>
    </row>
    <row r="301" spans="1:16">
      <c r="A301" s="46">
        <v>21</v>
      </c>
      <c r="B301" s="2" t="s">
        <v>131</v>
      </c>
      <c r="C301" s="2" t="s">
        <v>84</v>
      </c>
      <c r="D301" s="4">
        <v>0</v>
      </c>
      <c r="E301" s="4">
        <v>1</v>
      </c>
      <c r="F301" s="4">
        <v>0</v>
      </c>
      <c r="G301" s="3"/>
      <c r="H301" s="3"/>
      <c r="I301" s="3"/>
      <c r="J301" s="4">
        <v>2</v>
      </c>
      <c r="K301" s="4">
        <v>10</v>
      </c>
      <c r="L301" s="4">
        <v>0</v>
      </c>
      <c r="M301" s="4">
        <v>2</v>
      </c>
      <c r="N301" s="4">
        <v>2</v>
      </c>
      <c r="O301" s="4">
        <v>2</v>
      </c>
      <c r="P301" s="3"/>
    </row>
    <row r="302" spans="1:16">
      <c r="A302" s="46">
        <v>21</v>
      </c>
      <c r="B302" s="2" t="s">
        <v>131</v>
      </c>
      <c r="C302" s="2" t="s">
        <v>86</v>
      </c>
      <c r="D302" s="3"/>
      <c r="E302" s="3"/>
      <c r="F302" s="3"/>
      <c r="G302" s="4">
        <v>10</v>
      </c>
      <c r="H302" s="4">
        <v>8</v>
      </c>
      <c r="I302" s="4">
        <v>18</v>
      </c>
      <c r="J302" s="4">
        <v>15</v>
      </c>
      <c r="K302" s="4">
        <v>51</v>
      </c>
      <c r="L302" s="4">
        <v>46</v>
      </c>
      <c r="M302" s="4">
        <v>47</v>
      </c>
      <c r="N302" s="4">
        <v>13</v>
      </c>
      <c r="O302" s="4">
        <v>19</v>
      </c>
      <c r="P302" s="4">
        <v>17</v>
      </c>
    </row>
    <row r="303" spans="1:16">
      <c r="A303" s="46">
        <v>21</v>
      </c>
      <c r="B303" s="2" t="s">
        <v>131</v>
      </c>
      <c r="C303" s="2" t="s">
        <v>214</v>
      </c>
      <c r="D303" s="3"/>
      <c r="E303" s="3"/>
      <c r="F303" s="3"/>
      <c r="G303" s="3"/>
      <c r="H303" s="3"/>
      <c r="I303" s="3"/>
      <c r="J303" s="3"/>
      <c r="K303" s="3"/>
      <c r="L303" s="4">
        <v>2</v>
      </c>
      <c r="M303" s="4">
        <v>1</v>
      </c>
      <c r="N303" s="3"/>
      <c r="O303" s="4">
        <v>8</v>
      </c>
      <c r="P303" s="4">
        <v>4</v>
      </c>
    </row>
    <row r="304" spans="1:16">
      <c r="A304" s="46">
        <v>22</v>
      </c>
      <c r="B304" s="2" t="s">
        <v>133</v>
      </c>
      <c r="C304" s="2" t="s">
        <v>210</v>
      </c>
      <c r="D304" s="4">
        <v>9152</v>
      </c>
      <c r="E304" s="4">
        <v>683</v>
      </c>
      <c r="F304" s="4">
        <v>1804</v>
      </c>
      <c r="G304" s="4">
        <v>4970</v>
      </c>
      <c r="H304" s="4">
        <v>3411</v>
      </c>
      <c r="I304" s="4">
        <v>1006</v>
      </c>
      <c r="J304" s="4">
        <v>1211</v>
      </c>
      <c r="K304" s="4">
        <v>590</v>
      </c>
      <c r="L304" s="4">
        <v>711</v>
      </c>
      <c r="M304" s="4">
        <v>1486</v>
      </c>
      <c r="N304" s="4">
        <v>1786</v>
      </c>
      <c r="O304" s="4">
        <v>1072</v>
      </c>
      <c r="P304" s="4">
        <v>408</v>
      </c>
    </row>
    <row r="305" spans="1:16">
      <c r="A305" s="46">
        <v>22</v>
      </c>
      <c r="B305" s="2" t="s">
        <v>133</v>
      </c>
      <c r="C305" s="2" t="s">
        <v>211</v>
      </c>
      <c r="D305" s="4">
        <v>1070</v>
      </c>
      <c r="E305" s="4">
        <v>1289</v>
      </c>
      <c r="F305" s="4">
        <v>1307</v>
      </c>
      <c r="G305" s="4">
        <v>1774</v>
      </c>
      <c r="H305" s="4">
        <v>2103</v>
      </c>
      <c r="I305" s="4">
        <v>1063</v>
      </c>
      <c r="J305" s="4">
        <v>497</v>
      </c>
      <c r="K305" s="4">
        <v>585</v>
      </c>
      <c r="L305" s="4">
        <v>249</v>
      </c>
      <c r="M305" s="4">
        <v>95</v>
      </c>
      <c r="N305" s="4">
        <v>179</v>
      </c>
      <c r="O305" s="4">
        <v>291</v>
      </c>
      <c r="P305" s="4">
        <v>53</v>
      </c>
    </row>
    <row r="306" spans="1:16">
      <c r="A306" s="46">
        <v>22</v>
      </c>
      <c r="B306" s="2" t="s">
        <v>133</v>
      </c>
      <c r="C306" s="2" t="s">
        <v>65</v>
      </c>
      <c r="D306" s="4">
        <v>2601</v>
      </c>
      <c r="E306" s="4">
        <v>6328</v>
      </c>
      <c r="F306" s="4">
        <v>2617</v>
      </c>
      <c r="G306" s="4">
        <v>2505</v>
      </c>
      <c r="H306" s="4">
        <v>1003</v>
      </c>
      <c r="I306" s="4">
        <v>14532</v>
      </c>
      <c r="J306" s="4">
        <v>960</v>
      </c>
      <c r="K306" s="4">
        <v>1555</v>
      </c>
      <c r="L306" s="4">
        <v>1158</v>
      </c>
      <c r="M306" s="4">
        <v>516</v>
      </c>
      <c r="N306" s="4">
        <v>858</v>
      </c>
      <c r="O306" s="4">
        <v>577</v>
      </c>
      <c r="P306" s="4">
        <v>1240</v>
      </c>
    </row>
    <row r="307" spans="1:16">
      <c r="A307" s="46">
        <v>22</v>
      </c>
      <c r="B307" s="2" t="s">
        <v>133</v>
      </c>
      <c r="C307" s="2" t="s">
        <v>67</v>
      </c>
      <c r="D307" s="4">
        <v>12377</v>
      </c>
      <c r="E307" s="4">
        <v>7114</v>
      </c>
      <c r="F307" s="4">
        <v>9772</v>
      </c>
      <c r="G307" s="4">
        <v>4645</v>
      </c>
      <c r="H307" s="4">
        <v>5986</v>
      </c>
      <c r="I307" s="4">
        <v>5272</v>
      </c>
      <c r="J307" s="4">
        <v>3696</v>
      </c>
      <c r="K307" s="4">
        <v>3523</v>
      </c>
      <c r="L307" s="4">
        <v>3879</v>
      </c>
      <c r="M307" s="4">
        <v>560</v>
      </c>
      <c r="N307" s="4">
        <v>1193</v>
      </c>
      <c r="O307" s="4">
        <v>5024</v>
      </c>
      <c r="P307" s="4">
        <v>2537</v>
      </c>
    </row>
    <row r="308" spans="1:16">
      <c r="A308" s="46">
        <v>22</v>
      </c>
      <c r="B308" s="2" t="s">
        <v>133</v>
      </c>
      <c r="C308" s="2" t="s">
        <v>69</v>
      </c>
      <c r="D308" s="4">
        <v>2104</v>
      </c>
      <c r="E308" s="4">
        <v>1991</v>
      </c>
      <c r="F308" s="4">
        <v>2779</v>
      </c>
      <c r="G308" s="4">
        <v>4874</v>
      </c>
      <c r="H308" s="4">
        <v>3292</v>
      </c>
      <c r="I308" s="4">
        <v>6819</v>
      </c>
      <c r="J308" s="4">
        <v>4762</v>
      </c>
      <c r="K308" s="4">
        <v>4950</v>
      </c>
      <c r="L308" s="4">
        <v>7384</v>
      </c>
      <c r="M308" s="4">
        <v>13048</v>
      </c>
      <c r="N308" s="4">
        <v>1396</v>
      </c>
      <c r="O308" s="4">
        <v>1787</v>
      </c>
      <c r="P308" s="4">
        <v>2653</v>
      </c>
    </row>
    <row r="309" spans="1:16">
      <c r="A309" s="46">
        <v>22</v>
      </c>
      <c r="B309" s="2" t="s">
        <v>133</v>
      </c>
      <c r="C309" s="2" t="s">
        <v>212</v>
      </c>
      <c r="D309" s="3"/>
      <c r="E309" s="4">
        <v>0</v>
      </c>
      <c r="F309" s="4">
        <v>21</v>
      </c>
      <c r="G309" s="4">
        <v>50</v>
      </c>
      <c r="H309" s="3"/>
      <c r="I309" s="4">
        <v>50</v>
      </c>
      <c r="J309" s="4">
        <v>470</v>
      </c>
      <c r="K309" s="4">
        <v>3</v>
      </c>
      <c r="L309" s="3"/>
      <c r="M309" s="4">
        <v>0</v>
      </c>
      <c r="N309" s="3"/>
      <c r="O309" s="4">
        <v>3</v>
      </c>
      <c r="P309" s="4">
        <v>2</v>
      </c>
    </row>
    <row r="310" spans="1:16">
      <c r="A310" s="46">
        <v>22</v>
      </c>
      <c r="B310" s="2" t="s">
        <v>133</v>
      </c>
      <c r="C310" s="2" t="s">
        <v>73</v>
      </c>
      <c r="D310" s="4">
        <v>1130</v>
      </c>
      <c r="E310" s="4">
        <v>463</v>
      </c>
      <c r="F310" s="4">
        <v>535</v>
      </c>
      <c r="G310" s="4">
        <v>887</v>
      </c>
      <c r="H310" s="4">
        <v>236</v>
      </c>
      <c r="I310" s="4">
        <v>318</v>
      </c>
      <c r="J310" s="4">
        <v>245</v>
      </c>
      <c r="K310" s="4">
        <v>954</v>
      </c>
      <c r="L310" s="4">
        <v>134</v>
      </c>
      <c r="M310" s="4">
        <v>314</v>
      </c>
      <c r="N310" s="4">
        <v>283</v>
      </c>
      <c r="O310" s="4">
        <v>281</v>
      </c>
      <c r="P310" s="4">
        <v>367</v>
      </c>
    </row>
    <row r="311" spans="1:16">
      <c r="A311" s="46">
        <v>22</v>
      </c>
      <c r="B311" s="2" t="s">
        <v>133</v>
      </c>
      <c r="C311" s="2" t="s">
        <v>213</v>
      </c>
      <c r="D311" s="4">
        <v>36</v>
      </c>
      <c r="E311" s="4">
        <v>79</v>
      </c>
      <c r="F311" s="4">
        <v>2</v>
      </c>
      <c r="G311" s="4">
        <v>1557</v>
      </c>
      <c r="H311" s="4">
        <v>47</v>
      </c>
      <c r="I311" s="4">
        <v>5</v>
      </c>
      <c r="J311" s="4">
        <v>0</v>
      </c>
      <c r="K311" s="4">
        <v>4</v>
      </c>
      <c r="L311" s="4">
        <v>7</v>
      </c>
      <c r="M311" s="4">
        <v>10</v>
      </c>
      <c r="N311" s="4">
        <v>0</v>
      </c>
      <c r="O311" s="4">
        <v>1</v>
      </c>
      <c r="P311" s="4">
        <v>0</v>
      </c>
    </row>
    <row r="312" spans="1:16">
      <c r="A312" s="46">
        <v>22</v>
      </c>
      <c r="B312" s="2" t="s">
        <v>133</v>
      </c>
      <c r="C312" s="2" t="s">
        <v>77</v>
      </c>
      <c r="D312" s="4">
        <v>835</v>
      </c>
      <c r="E312" s="4">
        <v>2510</v>
      </c>
      <c r="F312" s="4">
        <v>3811</v>
      </c>
      <c r="G312" s="4">
        <v>1666</v>
      </c>
      <c r="H312" s="4">
        <v>1103</v>
      </c>
      <c r="I312" s="4">
        <v>1242</v>
      </c>
      <c r="J312" s="4">
        <v>1928</v>
      </c>
      <c r="K312" s="4">
        <v>4381</v>
      </c>
      <c r="L312" s="4">
        <v>2652</v>
      </c>
      <c r="M312" s="4">
        <v>3712</v>
      </c>
      <c r="N312" s="4">
        <v>5608</v>
      </c>
      <c r="O312" s="4">
        <v>2158</v>
      </c>
      <c r="P312" s="4">
        <v>477</v>
      </c>
    </row>
    <row r="313" spans="1:16">
      <c r="A313" s="46">
        <v>22</v>
      </c>
      <c r="B313" s="2" t="s">
        <v>133</v>
      </c>
      <c r="C313" s="2" t="s">
        <v>79</v>
      </c>
      <c r="D313" s="4">
        <v>100</v>
      </c>
      <c r="E313" s="4">
        <v>1137</v>
      </c>
      <c r="F313" s="4">
        <v>4507</v>
      </c>
      <c r="G313" s="4">
        <v>2921</v>
      </c>
      <c r="H313" s="4">
        <v>367</v>
      </c>
      <c r="I313" s="4">
        <v>251</v>
      </c>
      <c r="J313" s="4">
        <v>340</v>
      </c>
      <c r="K313" s="4">
        <v>685</v>
      </c>
      <c r="L313" s="4">
        <v>599</v>
      </c>
      <c r="M313" s="4">
        <v>453</v>
      </c>
      <c r="N313" s="4">
        <v>494</v>
      </c>
      <c r="O313" s="4">
        <v>1068</v>
      </c>
      <c r="P313" s="4">
        <v>421</v>
      </c>
    </row>
    <row r="314" spans="1:16">
      <c r="A314" s="46">
        <v>22</v>
      </c>
      <c r="B314" s="2" t="s">
        <v>133</v>
      </c>
      <c r="C314" s="2" t="s">
        <v>54</v>
      </c>
      <c r="D314" s="4">
        <v>138</v>
      </c>
      <c r="E314" s="4">
        <v>25</v>
      </c>
      <c r="F314" s="4">
        <v>41</v>
      </c>
      <c r="G314" s="4">
        <v>53</v>
      </c>
      <c r="H314" s="4">
        <v>47</v>
      </c>
      <c r="I314" s="4">
        <v>4</v>
      </c>
      <c r="J314" s="4">
        <v>23</v>
      </c>
      <c r="K314" s="4">
        <v>54</v>
      </c>
      <c r="L314" s="4">
        <v>30</v>
      </c>
      <c r="M314" s="4">
        <v>14</v>
      </c>
      <c r="N314" s="4">
        <v>20</v>
      </c>
      <c r="O314" s="4">
        <v>259</v>
      </c>
      <c r="P314" s="4">
        <v>21</v>
      </c>
    </row>
    <row r="315" spans="1:16">
      <c r="A315" s="46">
        <v>22</v>
      </c>
      <c r="B315" s="2" t="s">
        <v>133</v>
      </c>
      <c r="C315" s="2" t="s">
        <v>82</v>
      </c>
      <c r="D315" s="4">
        <v>3072</v>
      </c>
      <c r="E315" s="4">
        <v>3224</v>
      </c>
      <c r="F315" s="4">
        <v>4638</v>
      </c>
      <c r="G315" s="4">
        <v>1821</v>
      </c>
      <c r="H315" s="4">
        <v>2040</v>
      </c>
      <c r="I315" s="4">
        <v>28</v>
      </c>
      <c r="J315" s="4">
        <v>2009</v>
      </c>
      <c r="K315" s="4">
        <v>246</v>
      </c>
      <c r="L315" s="4">
        <v>4165</v>
      </c>
      <c r="M315" s="4">
        <v>342</v>
      </c>
      <c r="N315" s="4">
        <v>3000</v>
      </c>
      <c r="O315" s="4">
        <v>320</v>
      </c>
      <c r="P315" s="4">
        <v>3083</v>
      </c>
    </row>
    <row r="316" spans="1:16">
      <c r="A316" s="46">
        <v>22</v>
      </c>
      <c r="B316" s="2" t="s">
        <v>133</v>
      </c>
      <c r="C316" s="2" t="s">
        <v>84</v>
      </c>
      <c r="D316" s="4">
        <v>1179</v>
      </c>
      <c r="E316" s="4">
        <v>75</v>
      </c>
      <c r="F316" s="4">
        <v>25</v>
      </c>
      <c r="G316" s="4">
        <v>717</v>
      </c>
      <c r="H316" s="4">
        <v>37</v>
      </c>
      <c r="I316" s="4">
        <v>28</v>
      </c>
      <c r="J316" s="4">
        <v>130</v>
      </c>
      <c r="K316" s="4">
        <v>546</v>
      </c>
      <c r="L316" s="4">
        <v>8</v>
      </c>
      <c r="M316" s="4">
        <v>20</v>
      </c>
      <c r="N316" s="4">
        <v>7</v>
      </c>
      <c r="O316" s="4">
        <v>28</v>
      </c>
      <c r="P316" s="4">
        <v>33</v>
      </c>
    </row>
    <row r="317" spans="1:16">
      <c r="A317" s="46">
        <v>22</v>
      </c>
      <c r="B317" s="2" t="s">
        <v>133</v>
      </c>
      <c r="C317" s="2" t="s">
        <v>86</v>
      </c>
      <c r="D317" s="4">
        <v>9600</v>
      </c>
      <c r="E317" s="4">
        <v>6887</v>
      </c>
      <c r="F317" s="4">
        <v>11494</v>
      </c>
      <c r="G317" s="4">
        <v>13171</v>
      </c>
      <c r="H317" s="4">
        <v>8766</v>
      </c>
      <c r="I317" s="4">
        <v>9501</v>
      </c>
      <c r="J317" s="4">
        <v>17191</v>
      </c>
      <c r="K317" s="4">
        <v>6357</v>
      </c>
      <c r="L317" s="4">
        <v>8872</v>
      </c>
      <c r="M317" s="4">
        <v>3819</v>
      </c>
      <c r="N317" s="4">
        <v>6575</v>
      </c>
      <c r="O317" s="4">
        <v>5796</v>
      </c>
      <c r="P317" s="4">
        <v>2084</v>
      </c>
    </row>
    <row r="318" spans="1:16">
      <c r="A318" s="46">
        <v>22</v>
      </c>
      <c r="B318" s="2" t="s">
        <v>133</v>
      </c>
      <c r="C318" s="2" t="s">
        <v>214</v>
      </c>
      <c r="D318" s="4">
        <v>121</v>
      </c>
      <c r="E318" s="4">
        <v>509</v>
      </c>
      <c r="F318" s="4">
        <v>50</v>
      </c>
      <c r="G318" s="4">
        <v>162</v>
      </c>
      <c r="H318" s="4">
        <v>308</v>
      </c>
      <c r="I318" s="4">
        <v>36</v>
      </c>
      <c r="J318" s="4">
        <v>292</v>
      </c>
      <c r="K318" s="4">
        <v>503</v>
      </c>
      <c r="L318" s="4">
        <v>332</v>
      </c>
      <c r="M318" s="4">
        <v>24</v>
      </c>
      <c r="N318" s="4">
        <v>168</v>
      </c>
      <c r="O318" s="4">
        <v>290</v>
      </c>
      <c r="P318" s="4">
        <v>86</v>
      </c>
    </row>
    <row r="319" spans="1:16">
      <c r="A319" s="46">
        <v>23</v>
      </c>
      <c r="B319" s="2" t="s">
        <v>135</v>
      </c>
      <c r="C319" s="2" t="s">
        <v>210</v>
      </c>
      <c r="D319" s="4">
        <v>33</v>
      </c>
      <c r="E319" s="4">
        <v>2</v>
      </c>
      <c r="F319" s="4">
        <v>85</v>
      </c>
      <c r="G319" s="4">
        <v>23</v>
      </c>
      <c r="H319" s="4">
        <v>-81</v>
      </c>
      <c r="I319" s="4">
        <v>308</v>
      </c>
      <c r="J319" s="4">
        <v>5</v>
      </c>
      <c r="K319" s="4">
        <v>10</v>
      </c>
      <c r="L319" s="4">
        <v>155</v>
      </c>
      <c r="M319" s="4">
        <v>26</v>
      </c>
      <c r="N319" s="4">
        <v>152</v>
      </c>
      <c r="O319" s="4">
        <v>23</v>
      </c>
      <c r="P319" s="4">
        <v>4</v>
      </c>
    </row>
    <row r="320" spans="1:16">
      <c r="A320" s="46">
        <v>23</v>
      </c>
      <c r="B320" s="2" t="s">
        <v>135</v>
      </c>
      <c r="C320" s="2" t="s">
        <v>211</v>
      </c>
      <c r="D320" s="4">
        <v>13</v>
      </c>
      <c r="E320" s="4">
        <v>1</v>
      </c>
      <c r="F320" s="4">
        <v>19</v>
      </c>
      <c r="G320" s="4">
        <v>20</v>
      </c>
      <c r="H320" s="4">
        <v>8</v>
      </c>
      <c r="I320" s="4">
        <v>5</v>
      </c>
      <c r="J320" s="4">
        <v>2</v>
      </c>
      <c r="K320" s="4">
        <v>5</v>
      </c>
      <c r="L320" s="4">
        <v>3</v>
      </c>
      <c r="M320" s="4">
        <v>0</v>
      </c>
      <c r="N320" s="4">
        <v>12</v>
      </c>
      <c r="O320" s="4">
        <v>6</v>
      </c>
      <c r="P320" s="4">
        <v>9</v>
      </c>
    </row>
    <row r="321" spans="1:16">
      <c r="A321" s="46">
        <v>23</v>
      </c>
      <c r="B321" s="2" t="s">
        <v>135</v>
      </c>
      <c r="C321" s="2" t="s">
        <v>65</v>
      </c>
      <c r="D321" s="4">
        <v>2758</v>
      </c>
      <c r="E321" s="4">
        <v>722</v>
      </c>
      <c r="F321" s="4">
        <v>543</v>
      </c>
      <c r="G321" s="4">
        <v>353</v>
      </c>
      <c r="H321" s="4">
        <v>525</v>
      </c>
      <c r="I321" s="4">
        <v>521</v>
      </c>
      <c r="J321" s="4">
        <v>799</v>
      </c>
      <c r="K321" s="4">
        <v>856</v>
      </c>
      <c r="L321" s="4">
        <v>772</v>
      </c>
      <c r="M321" s="4">
        <v>1409</v>
      </c>
      <c r="N321" s="4">
        <v>812</v>
      </c>
      <c r="O321" s="4">
        <v>562</v>
      </c>
      <c r="P321" s="4">
        <v>2739</v>
      </c>
    </row>
    <row r="322" spans="1:16">
      <c r="A322" s="46">
        <v>23</v>
      </c>
      <c r="B322" s="2" t="s">
        <v>135</v>
      </c>
      <c r="C322" s="2" t="s">
        <v>67</v>
      </c>
      <c r="D322" s="4">
        <v>-35</v>
      </c>
      <c r="E322" s="4">
        <v>622</v>
      </c>
      <c r="F322" s="4">
        <v>2320</v>
      </c>
      <c r="G322" s="4">
        <v>153</v>
      </c>
      <c r="H322" s="4">
        <v>402</v>
      </c>
      <c r="I322" s="4">
        <v>1214</v>
      </c>
      <c r="J322" s="4">
        <v>513</v>
      </c>
      <c r="K322" s="4">
        <v>304</v>
      </c>
      <c r="L322" s="4">
        <v>88</v>
      </c>
      <c r="M322" s="4">
        <v>661</v>
      </c>
      <c r="N322" s="4">
        <v>169</v>
      </c>
      <c r="O322" s="4">
        <v>1513</v>
      </c>
      <c r="P322" s="4">
        <v>26</v>
      </c>
    </row>
    <row r="323" spans="1:16">
      <c r="A323" s="46">
        <v>23</v>
      </c>
      <c r="B323" s="2" t="s">
        <v>135</v>
      </c>
      <c r="C323" s="2" t="s">
        <v>69</v>
      </c>
      <c r="D323" s="4">
        <v>93</v>
      </c>
      <c r="E323" s="4">
        <v>42</v>
      </c>
      <c r="F323" s="4">
        <v>35</v>
      </c>
      <c r="G323" s="4">
        <v>14</v>
      </c>
      <c r="H323" s="4">
        <v>6</v>
      </c>
      <c r="I323" s="4">
        <v>4</v>
      </c>
      <c r="J323" s="4">
        <v>2</v>
      </c>
      <c r="K323" s="4">
        <v>3</v>
      </c>
      <c r="L323" s="4">
        <v>15</v>
      </c>
      <c r="M323" s="4">
        <v>4</v>
      </c>
      <c r="N323" s="4">
        <v>3</v>
      </c>
      <c r="O323" s="4">
        <v>36</v>
      </c>
      <c r="P323" s="4">
        <v>13</v>
      </c>
    </row>
    <row r="324" spans="1:16">
      <c r="A324" s="46">
        <v>23</v>
      </c>
      <c r="B324" s="2" t="s">
        <v>135</v>
      </c>
      <c r="C324" s="2" t="s">
        <v>212</v>
      </c>
      <c r="D324" s="3"/>
      <c r="E324" s="4">
        <v>1</v>
      </c>
      <c r="F324" s="3"/>
      <c r="G324" s="4">
        <v>0</v>
      </c>
      <c r="H324" s="4">
        <v>0</v>
      </c>
      <c r="I324" s="4">
        <v>1</v>
      </c>
      <c r="J324" s="4">
        <v>0</v>
      </c>
      <c r="K324" s="3"/>
      <c r="L324" s="4">
        <v>1</v>
      </c>
      <c r="M324" s="4">
        <v>1</v>
      </c>
      <c r="N324" s="3"/>
      <c r="O324" s="3"/>
      <c r="P324" s="4">
        <v>0</v>
      </c>
    </row>
    <row r="325" spans="1:16">
      <c r="A325" s="46">
        <v>23</v>
      </c>
      <c r="B325" s="2" t="s">
        <v>135</v>
      </c>
      <c r="C325" s="2" t="s">
        <v>73</v>
      </c>
      <c r="D325" s="4">
        <v>128</v>
      </c>
      <c r="E325" s="4">
        <v>112</v>
      </c>
      <c r="F325" s="4">
        <v>125</v>
      </c>
      <c r="G325" s="4">
        <v>260</v>
      </c>
      <c r="H325" s="4">
        <v>664</v>
      </c>
      <c r="I325" s="4">
        <v>176</v>
      </c>
      <c r="J325" s="4">
        <v>100</v>
      </c>
      <c r="K325" s="4">
        <v>437</v>
      </c>
      <c r="L325" s="4">
        <v>2137</v>
      </c>
      <c r="M325" s="4">
        <v>299</v>
      </c>
      <c r="N325" s="4">
        <v>1317</v>
      </c>
      <c r="O325" s="4">
        <v>490</v>
      </c>
      <c r="P325" s="4">
        <v>939</v>
      </c>
    </row>
    <row r="326" spans="1:16">
      <c r="A326" s="46">
        <v>23</v>
      </c>
      <c r="B326" s="2" t="s">
        <v>135</v>
      </c>
      <c r="C326" s="2" t="s">
        <v>213</v>
      </c>
      <c r="D326" s="4">
        <v>0</v>
      </c>
      <c r="E326" s="4">
        <v>0</v>
      </c>
      <c r="F326" s="4">
        <v>0</v>
      </c>
      <c r="G326" s="4">
        <v>6</v>
      </c>
      <c r="H326" s="4">
        <v>68</v>
      </c>
      <c r="I326" s="4">
        <v>14</v>
      </c>
      <c r="J326" s="4">
        <v>626</v>
      </c>
      <c r="K326" s="4">
        <v>576</v>
      </c>
      <c r="L326" s="4">
        <v>291</v>
      </c>
      <c r="M326" s="4">
        <v>3288</v>
      </c>
      <c r="N326" s="4">
        <v>30</v>
      </c>
      <c r="O326" s="4">
        <v>21</v>
      </c>
      <c r="P326" s="4">
        <v>2</v>
      </c>
    </row>
    <row r="327" spans="1:16">
      <c r="A327" s="46">
        <v>23</v>
      </c>
      <c r="B327" s="2" t="s">
        <v>135</v>
      </c>
      <c r="C327" s="2" t="s">
        <v>77</v>
      </c>
      <c r="D327" s="4">
        <v>11</v>
      </c>
      <c r="E327" s="4">
        <v>147</v>
      </c>
      <c r="F327" s="4">
        <v>568</v>
      </c>
      <c r="G327" s="4">
        <v>1066</v>
      </c>
      <c r="H327" s="4">
        <v>27</v>
      </c>
      <c r="I327" s="4">
        <v>168</v>
      </c>
      <c r="J327" s="4">
        <v>871</v>
      </c>
      <c r="K327" s="4">
        <v>112</v>
      </c>
      <c r="L327" s="4">
        <v>30</v>
      </c>
      <c r="M327" s="4">
        <v>96</v>
      </c>
      <c r="N327" s="4">
        <v>120</v>
      </c>
      <c r="O327" s="4">
        <v>45</v>
      </c>
      <c r="P327" s="4">
        <v>97</v>
      </c>
    </row>
    <row r="328" spans="1:16">
      <c r="A328" s="46">
        <v>23</v>
      </c>
      <c r="B328" s="2" t="s">
        <v>135</v>
      </c>
      <c r="C328" s="2" t="s">
        <v>79</v>
      </c>
      <c r="D328" s="4">
        <v>41</v>
      </c>
      <c r="E328" s="4">
        <v>24</v>
      </c>
      <c r="F328" s="4">
        <v>549</v>
      </c>
      <c r="G328" s="4">
        <v>-6</v>
      </c>
      <c r="H328" s="4">
        <v>39</v>
      </c>
      <c r="I328" s="4">
        <v>593</v>
      </c>
      <c r="J328" s="4">
        <v>1579</v>
      </c>
      <c r="K328" s="4">
        <v>663</v>
      </c>
      <c r="L328" s="4">
        <v>246</v>
      </c>
      <c r="M328" s="4">
        <v>512</v>
      </c>
      <c r="N328" s="4">
        <v>785</v>
      </c>
      <c r="O328" s="4">
        <v>903</v>
      </c>
      <c r="P328" s="4">
        <v>321</v>
      </c>
    </row>
    <row r="329" spans="1:16">
      <c r="A329" s="46">
        <v>23</v>
      </c>
      <c r="B329" s="2" t="s">
        <v>135</v>
      </c>
      <c r="C329" s="2" t="s">
        <v>54</v>
      </c>
      <c r="D329" s="4">
        <v>115</v>
      </c>
      <c r="E329" s="4">
        <v>167</v>
      </c>
      <c r="F329" s="4">
        <v>210</v>
      </c>
      <c r="G329" s="4">
        <v>6337</v>
      </c>
      <c r="H329" s="4">
        <v>87</v>
      </c>
      <c r="I329" s="4">
        <v>152</v>
      </c>
      <c r="J329" s="4">
        <v>1193</v>
      </c>
      <c r="K329" s="4">
        <v>2467</v>
      </c>
      <c r="L329" s="4">
        <v>1510</v>
      </c>
      <c r="M329" s="4">
        <v>86</v>
      </c>
      <c r="N329" s="4">
        <v>1593</v>
      </c>
      <c r="O329" s="4">
        <v>448</v>
      </c>
      <c r="P329" s="4">
        <v>470</v>
      </c>
    </row>
    <row r="330" spans="1:16">
      <c r="A330" s="46">
        <v>23</v>
      </c>
      <c r="B330" s="2" t="s">
        <v>135</v>
      </c>
      <c r="C330" s="2" t="s">
        <v>82</v>
      </c>
      <c r="D330" s="4">
        <v>130</v>
      </c>
      <c r="E330" s="4">
        <v>219</v>
      </c>
      <c r="F330" s="4">
        <v>2219</v>
      </c>
      <c r="G330" s="4">
        <v>240</v>
      </c>
      <c r="H330" s="4">
        <v>176</v>
      </c>
      <c r="I330" s="4">
        <v>318</v>
      </c>
      <c r="J330" s="4">
        <v>124</v>
      </c>
      <c r="K330" s="4">
        <v>74</v>
      </c>
      <c r="L330" s="4">
        <v>265</v>
      </c>
      <c r="M330" s="4">
        <v>52</v>
      </c>
      <c r="N330" s="4">
        <v>130</v>
      </c>
      <c r="O330" s="4">
        <v>91</v>
      </c>
      <c r="P330" s="4">
        <v>17</v>
      </c>
    </row>
    <row r="331" spans="1:16">
      <c r="A331" s="46">
        <v>23</v>
      </c>
      <c r="B331" s="2" t="s">
        <v>135</v>
      </c>
      <c r="C331" s="2" t="s">
        <v>84</v>
      </c>
      <c r="D331" s="4">
        <v>4</v>
      </c>
      <c r="E331" s="4">
        <v>12</v>
      </c>
      <c r="F331" s="4">
        <v>52</v>
      </c>
      <c r="G331" s="4">
        <v>8</v>
      </c>
      <c r="H331" s="4">
        <v>13</v>
      </c>
      <c r="I331" s="4">
        <v>30</v>
      </c>
      <c r="J331" s="4">
        <v>71</v>
      </c>
      <c r="K331" s="4">
        <v>6</v>
      </c>
      <c r="L331" s="4">
        <v>0</v>
      </c>
      <c r="M331" s="4">
        <v>14</v>
      </c>
      <c r="N331" s="4">
        <v>2</v>
      </c>
      <c r="O331" s="4">
        <v>22</v>
      </c>
      <c r="P331" s="4">
        <v>12</v>
      </c>
    </row>
    <row r="332" spans="1:16">
      <c r="A332" s="46">
        <v>23</v>
      </c>
      <c r="B332" s="2" t="s">
        <v>135</v>
      </c>
      <c r="C332" s="2" t="s">
        <v>86</v>
      </c>
      <c r="D332" s="4">
        <v>1117</v>
      </c>
      <c r="E332" s="4">
        <v>2375</v>
      </c>
      <c r="F332" s="4">
        <v>3346</v>
      </c>
      <c r="G332" s="4">
        <v>2359</v>
      </c>
      <c r="H332" s="4">
        <v>1042</v>
      </c>
      <c r="I332" s="4">
        <v>2189</v>
      </c>
      <c r="J332" s="4">
        <v>2419</v>
      </c>
      <c r="K332" s="4">
        <v>1666</v>
      </c>
      <c r="L332" s="4">
        <v>2858</v>
      </c>
      <c r="M332" s="4">
        <v>1419</v>
      </c>
      <c r="N332" s="4">
        <v>2702</v>
      </c>
      <c r="O332" s="4">
        <v>1969</v>
      </c>
      <c r="P332" s="4">
        <v>2111</v>
      </c>
    </row>
    <row r="333" spans="1:16">
      <c r="A333" s="46">
        <v>23</v>
      </c>
      <c r="B333" s="2" t="s">
        <v>135</v>
      </c>
      <c r="C333" s="2" t="s">
        <v>214</v>
      </c>
      <c r="D333" s="4">
        <v>41</v>
      </c>
      <c r="E333" s="4">
        <v>40</v>
      </c>
      <c r="F333" s="4">
        <v>349</v>
      </c>
      <c r="G333" s="4">
        <v>287</v>
      </c>
      <c r="H333" s="4">
        <v>31</v>
      </c>
      <c r="I333" s="4">
        <v>83</v>
      </c>
      <c r="J333" s="4">
        <v>237</v>
      </c>
      <c r="K333" s="4">
        <v>92</v>
      </c>
      <c r="L333" s="4">
        <v>59</v>
      </c>
      <c r="M333" s="4">
        <v>7</v>
      </c>
      <c r="N333" s="4">
        <v>18</v>
      </c>
      <c r="O333" s="4">
        <v>54</v>
      </c>
      <c r="P333" s="4">
        <v>53</v>
      </c>
    </row>
    <row r="334" spans="1:16">
      <c r="A334" s="46">
        <v>24</v>
      </c>
      <c r="B334" s="2" t="s">
        <v>137</v>
      </c>
      <c r="C334" s="2" t="s">
        <v>210</v>
      </c>
      <c r="D334" s="4">
        <v>11</v>
      </c>
      <c r="E334" s="4">
        <v>2</v>
      </c>
      <c r="F334" s="4">
        <v>3</v>
      </c>
      <c r="G334" s="4">
        <v>10</v>
      </c>
      <c r="H334" s="4">
        <v>19</v>
      </c>
      <c r="I334" s="4">
        <v>9</v>
      </c>
      <c r="J334" s="4">
        <v>8</v>
      </c>
      <c r="K334" s="4">
        <v>3</v>
      </c>
      <c r="L334" s="4">
        <v>21</v>
      </c>
      <c r="M334" s="4">
        <v>9</v>
      </c>
      <c r="N334" s="4">
        <v>1</v>
      </c>
      <c r="O334" s="4">
        <v>14</v>
      </c>
      <c r="P334" s="4">
        <v>16</v>
      </c>
    </row>
    <row r="335" spans="1:16">
      <c r="A335" s="46">
        <v>24</v>
      </c>
      <c r="B335" s="2" t="s">
        <v>137</v>
      </c>
      <c r="C335" s="2" t="s">
        <v>211</v>
      </c>
      <c r="D335" s="4">
        <v>81</v>
      </c>
      <c r="E335" s="4">
        <v>196</v>
      </c>
      <c r="F335" s="4">
        <v>358</v>
      </c>
      <c r="G335" s="4">
        <v>121</v>
      </c>
      <c r="H335" s="4">
        <v>162</v>
      </c>
      <c r="I335" s="4">
        <v>146</v>
      </c>
      <c r="J335" s="4">
        <v>120</v>
      </c>
      <c r="K335" s="4">
        <v>62</v>
      </c>
      <c r="L335" s="4">
        <v>110</v>
      </c>
      <c r="M335" s="4">
        <v>114</v>
      </c>
      <c r="N335" s="4">
        <v>228</v>
      </c>
      <c r="O335" s="4">
        <v>203</v>
      </c>
      <c r="P335" s="4">
        <v>125</v>
      </c>
    </row>
    <row r="336" spans="1:16">
      <c r="A336" s="46">
        <v>24</v>
      </c>
      <c r="B336" s="2" t="s">
        <v>137</v>
      </c>
      <c r="C336" s="2" t="s">
        <v>65</v>
      </c>
      <c r="D336" s="4">
        <v>177</v>
      </c>
      <c r="E336" s="4">
        <v>11</v>
      </c>
      <c r="F336" s="4">
        <v>73</v>
      </c>
      <c r="G336" s="4">
        <v>245</v>
      </c>
      <c r="H336" s="4">
        <v>90</v>
      </c>
      <c r="I336" s="4">
        <v>575</v>
      </c>
      <c r="J336" s="4">
        <v>69</v>
      </c>
      <c r="K336" s="4">
        <v>69</v>
      </c>
      <c r="L336" s="4">
        <v>115</v>
      </c>
      <c r="M336" s="4">
        <v>287</v>
      </c>
      <c r="N336" s="4">
        <v>94</v>
      </c>
      <c r="O336" s="4">
        <v>93</v>
      </c>
      <c r="P336" s="4">
        <v>160</v>
      </c>
    </row>
    <row r="337" spans="1:16">
      <c r="A337" s="46">
        <v>24</v>
      </c>
      <c r="B337" s="2" t="s">
        <v>137</v>
      </c>
      <c r="C337" s="2" t="s">
        <v>67</v>
      </c>
      <c r="D337" s="4">
        <v>632</v>
      </c>
      <c r="E337" s="4">
        <v>645</v>
      </c>
      <c r="F337" s="4">
        <v>1175</v>
      </c>
      <c r="G337" s="4">
        <v>430</v>
      </c>
      <c r="H337" s="4">
        <v>142</v>
      </c>
      <c r="I337" s="4">
        <v>732</v>
      </c>
      <c r="J337" s="4">
        <v>795</v>
      </c>
      <c r="K337" s="4">
        <v>361</v>
      </c>
      <c r="L337" s="4">
        <v>859</v>
      </c>
      <c r="M337" s="4">
        <v>751</v>
      </c>
      <c r="N337" s="4">
        <v>432</v>
      </c>
      <c r="O337" s="4">
        <v>588</v>
      </c>
      <c r="P337" s="4">
        <v>522</v>
      </c>
    </row>
    <row r="338" spans="1:16">
      <c r="A338" s="46">
        <v>24</v>
      </c>
      <c r="B338" s="2" t="s">
        <v>137</v>
      </c>
      <c r="C338" s="2" t="s">
        <v>69</v>
      </c>
      <c r="D338" s="4">
        <v>0</v>
      </c>
      <c r="E338" s="4">
        <v>0</v>
      </c>
      <c r="F338" s="4">
        <v>2</v>
      </c>
      <c r="G338" s="4">
        <v>0</v>
      </c>
      <c r="H338" s="3"/>
      <c r="I338" s="3"/>
      <c r="J338" s="3"/>
      <c r="K338" s="4">
        <v>2</v>
      </c>
      <c r="L338" s="4">
        <v>1</v>
      </c>
      <c r="M338" s="3"/>
      <c r="N338" s="4">
        <v>14</v>
      </c>
      <c r="O338" s="4">
        <v>23</v>
      </c>
      <c r="P338" s="4">
        <v>1</v>
      </c>
    </row>
    <row r="339" spans="1:16">
      <c r="A339" s="46">
        <v>24</v>
      </c>
      <c r="B339" s="2" t="s">
        <v>137</v>
      </c>
      <c r="C339" s="2" t="s">
        <v>212</v>
      </c>
      <c r="D339" s="4">
        <v>0</v>
      </c>
      <c r="E339" s="3"/>
      <c r="F339" s="3"/>
      <c r="G339" s="3"/>
      <c r="H339" s="3"/>
      <c r="I339" s="3"/>
      <c r="J339" s="4">
        <v>1</v>
      </c>
      <c r="K339" s="3"/>
      <c r="L339" s="3"/>
      <c r="M339" s="4">
        <v>3</v>
      </c>
      <c r="N339" s="3"/>
      <c r="O339" s="3"/>
      <c r="P339" s="3"/>
    </row>
    <row r="340" spans="1:16">
      <c r="A340" s="46">
        <v>24</v>
      </c>
      <c r="B340" s="2" t="s">
        <v>137</v>
      </c>
      <c r="C340" s="2" t="s">
        <v>73</v>
      </c>
      <c r="D340" s="4">
        <v>309</v>
      </c>
      <c r="E340" s="4">
        <v>367</v>
      </c>
      <c r="F340" s="4">
        <v>235</v>
      </c>
      <c r="G340" s="4">
        <v>181</v>
      </c>
      <c r="H340" s="4">
        <v>217</v>
      </c>
      <c r="I340" s="4">
        <v>231</v>
      </c>
      <c r="J340" s="4">
        <v>156</v>
      </c>
      <c r="K340" s="4">
        <v>623</v>
      </c>
      <c r="L340" s="4">
        <v>498</v>
      </c>
      <c r="M340" s="4">
        <v>518</v>
      </c>
      <c r="N340" s="4">
        <v>277</v>
      </c>
      <c r="O340" s="4">
        <v>478</v>
      </c>
      <c r="P340" s="4">
        <v>234</v>
      </c>
    </row>
    <row r="341" spans="1:16">
      <c r="A341" s="46">
        <v>24</v>
      </c>
      <c r="B341" s="2" t="s">
        <v>137</v>
      </c>
      <c r="C341" s="2" t="s">
        <v>213</v>
      </c>
      <c r="D341" s="4">
        <v>39</v>
      </c>
      <c r="E341" s="4">
        <v>4</v>
      </c>
      <c r="F341" s="4">
        <v>96</v>
      </c>
      <c r="G341" s="4">
        <v>54</v>
      </c>
      <c r="H341" s="4">
        <v>5</v>
      </c>
      <c r="I341" s="4">
        <v>20</v>
      </c>
      <c r="J341" s="4">
        <v>13</v>
      </c>
      <c r="K341" s="4">
        <v>19</v>
      </c>
      <c r="L341" s="4">
        <v>4</v>
      </c>
      <c r="M341" s="4">
        <v>70</v>
      </c>
      <c r="N341" s="4">
        <v>31</v>
      </c>
      <c r="O341" s="4">
        <v>12</v>
      </c>
      <c r="P341" s="4">
        <v>31</v>
      </c>
    </row>
    <row r="342" spans="1:16">
      <c r="A342" s="46">
        <v>24</v>
      </c>
      <c r="B342" s="2" t="s">
        <v>137</v>
      </c>
      <c r="C342" s="2" t="s">
        <v>77</v>
      </c>
      <c r="D342" s="4">
        <v>52</v>
      </c>
      <c r="E342" s="4">
        <v>113</v>
      </c>
      <c r="F342" s="4">
        <v>90</v>
      </c>
      <c r="G342" s="4">
        <v>346</v>
      </c>
      <c r="H342" s="4">
        <v>218</v>
      </c>
      <c r="I342" s="4">
        <v>271</v>
      </c>
      <c r="J342" s="4">
        <v>347</v>
      </c>
      <c r="K342" s="4">
        <v>259</v>
      </c>
      <c r="L342" s="4">
        <v>480</v>
      </c>
      <c r="M342" s="4">
        <v>378</v>
      </c>
      <c r="N342" s="4">
        <v>661</v>
      </c>
      <c r="O342" s="4">
        <v>759</v>
      </c>
      <c r="P342" s="4">
        <v>642</v>
      </c>
    </row>
    <row r="343" spans="1:16">
      <c r="A343" s="46">
        <v>24</v>
      </c>
      <c r="B343" s="2" t="s">
        <v>137</v>
      </c>
      <c r="C343" s="2" t="s">
        <v>79</v>
      </c>
      <c r="D343" s="4">
        <v>0</v>
      </c>
      <c r="E343" s="4">
        <v>22</v>
      </c>
      <c r="F343" s="4">
        <v>4</v>
      </c>
      <c r="G343" s="4">
        <v>6</v>
      </c>
      <c r="H343" s="4">
        <v>11</v>
      </c>
      <c r="I343" s="4">
        <v>1</v>
      </c>
      <c r="J343" s="4">
        <v>7</v>
      </c>
      <c r="K343" s="4">
        <v>1</v>
      </c>
      <c r="L343" s="4">
        <v>26</v>
      </c>
      <c r="M343" s="4">
        <v>0</v>
      </c>
      <c r="N343" s="4">
        <v>26</v>
      </c>
      <c r="O343" s="4">
        <v>27</v>
      </c>
      <c r="P343" s="4">
        <v>32</v>
      </c>
    </row>
    <row r="344" spans="1:16">
      <c r="A344" s="46">
        <v>24</v>
      </c>
      <c r="B344" s="2" t="s">
        <v>137</v>
      </c>
      <c r="C344" s="2" t="s">
        <v>54</v>
      </c>
      <c r="D344" s="4">
        <v>0</v>
      </c>
      <c r="E344" s="3"/>
      <c r="F344" s="4">
        <v>2</v>
      </c>
      <c r="G344" s="4">
        <v>1</v>
      </c>
      <c r="H344" s="4">
        <v>3</v>
      </c>
      <c r="I344" s="4">
        <v>30</v>
      </c>
      <c r="J344" s="4">
        <v>0</v>
      </c>
      <c r="K344" s="4">
        <v>3</v>
      </c>
      <c r="L344" s="4">
        <v>0</v>
      </c>
      <c r="M344" s="4">
        <v>1</v>
      </c>
      <c r="N344" s="4">
        <v>2</v>
      </c>
      <c r="O344" s="4">
        <v>2</v>
      </c>
      <c r="P344" s="4">
        <v>0</v>
      </c>
    </row>
    <row r="345" spans="1:16">
      <c r="A345" s="46">
        <v>24</v>
      </c>
      <c r="B345" s="2" t="s">
        <v>137</v>
      </c>
      <c r="C345" s="2" t="s">
        <v>82</v>
      </c>
      <c r="D345" s="4">
        <v>23</v>
      </c>
      <c r="E345" s="4">
        <v>82</v>
      </c>
      <c r="F345" s="4">
        <v>0</v>
      </c>
      <c r="G345" s="4">
        <v>20</v>
      </c>
      <c r="H345" s="4">
        <v>13</v>
      </c>
      <c r="I345" s="4">
        <v>-15</v>
      </c>
      <c r="J345" s="4">
        <v>18</v>
      </c>
      <c r="K345" s="4">
        <v>39</v>
      </c>
      <c r="L345" s="4">
        <v>9</v>
      </c>
      <c r="M345" s="4">
        <v>6</v>
      </c>
      <c r="N345" s="4">
        <v>61</v>
      </c>
      <c r="O345" s="4">
        <v>51</v>
      </c>
      <c r="P345" s="4">
        <v>40</v>
      </c>
    </row>
    <row r="346" spans="1:16">
      <c r="A346" s="46">
        <v>24</v>
      </c>
      <c r="B346" s="2" t="s">
        <v>137</v>
      </c>
      <c r="C346" s="2" t="s">
        <v>84</v>
      </c>
      <c r="D346" s="4">
        <v>243</v>
      </c>
      <c r="E346" s="4">
        <v>-138</v>
      </c>
      <c r="F346" s="4">
        <v>118</v>
      </c>
      <c r="G346" s="4">
        <v>211</v>
      </c>
      <c r="H346" s="4">
        <v>39</v>
      </c>
      <c r="I346" s="4">
        <v>69</v>
      </c>
      <c r="J346" s="4">
        <v>62</v>
      </c>
      <c r="K346" s="4">
        <v>502</v>
      </c>
      <c r="L346" s="4">
        <v>67</v>
      </c>
      <c r="M346" s="4">
        <v>215</v>
      </c>
      <c r="N346" s="4">
        <v>252</v>
      </c>
      <c r="O346" s="4">
        <v>162</v>
      </c>
      <c r="P346" s="4">
        <v>79</v>
      </c>
    </row>
    <row r="347" spans="1:16">
      <c r="A347" s="46">
        <v>24</v>
      </c>
      <c r="B347" s="2" t="s">
        <v>137</v>
      </c>
      <c r="C347" s="2" t="s">
        <v>86</v>
      </c>
      <c r="D347" s="4">
        <v>220</v>
      </c>
      <c r="E347" s="4">
        <v>409</v>
      </c>
      <c r="F347" s="4">
        <v>284</v>
      </c>
      <c r="G347" s="4">
        <v>560</v>
      </c>
      <c r="H347" s="4">
        <v>294</v>
      </c>
      <c r="I347" s="4">
        <v>231</v>
      </c>
      <c r="J347" s="4">
        <v>392</v>
      </c>
      <c r="K347" s="4">
        <v>496</v>
      </c>
      <c r="L347" s="4">
        <v>308</v>
      </c>
      <c r="M347" s="4">
        <v>416</v>
      </c>
      <c r="N347" s="4">
        <v>396</v>
      </c>
      <c r="O347" s="4">
        <v>478</v>
      </c>
      <c r="P347" s="4">
        <v>202</v>
      </c>
    </row>
    <row r="348" spans="1:16">
      <c r="A348" s="46">
        <v>24</v>
      </c>
      <c r="B348" s="2" t="s">
        <v>137</v>
      </c>
      <c r="C348" s="2" t="s">
        <v>214</v>
      </c>
      <c r="D348" s="4">
        <v>7</v>
      </c>
      <c r="E348" s="4">
        <v>14</v>
      </c>
      <c r="F348" s="4">
        <v>13</v>
      </c>
      <c r="G348" s="4">
        <v>27</v>
      </c>
      <c r="H348" s="4">
        <v>16</v>
      </c>
      <c r="I348" s="4">
        <v>23</v>
      </c>
      <c r="J348" s="4">
        <v>41</v>
      </c>
      <c r="K348" s="4">
        <v>35</v>
      </c>
      <c r="L348" s="4">
        <v>82</v>
      </c>
      <c r="M348" s="4">
        <v>56</v>
      </c>
      <c r="N348" s="4">
        <v>100</v>
      </c>
      <c r="O348" s="4">
        <v>77</v>
      </c>
      <c r="P348" s="4">
        <v>81</v>
      </c>
    </row>
    <row r="349" spans="1:16">
      <c r="A349" s="46">
        <v>25</v>
      </c>
      <c r="B349" s="2" t="s">
        <v>139</v>
      </c>
      <c r="C349" s="2" t="s">
        <v>210</v>
      </c>
      <c r="D349" s="4">
        <v>129</v>
      </c>
      <c r="E349" s="4">
        <v>231</v>
      </c>
      <c r="F349" s="4">
        <v>308</v>
      </c>
      <c r="G349" s="4">
        <v>104</v>
      </c>
      <c r="H349" s="4">
        <v>41</v>
      </c>
      <c r="I349" s="4">
        <v>66</v>
      </c>
      <c r="J349" s="4">
        <v>74</v>
      </c>
      <c r="K349" s="4">
        <v>105</v>
      </c>
      <c r="L349" s="4">
        <v>78</v>
      </c>
      <c r="M349" s="4">
        <v>145</v>
      </c>
      <c r="N349" s="4">
        <v>130</v>
      </c>
      <c r="O349" s="4">
        <v>285</v>
      </c>
      <c r="P349" s="4">
        <v>44</v>
      </c>
    </row>
    <row r="350" spans="1:16">
      <c r="A350" s="46">
        <v>25</v>
      </c>
      <c r="B350" s="2" t="s">
        <v>139</v>
      </c>
      <c r="C350" s="2" t="s">
        <v>211</v>
      </c>
      <c r="D350" s="4">
        <v>76</v>
      </c>
      <c r="E350" s="4">
        <v>170</v>
      </c>
      <c r="F350" s="4">
        <v>236</v>
      </c>
      <c r="G350" s="4">
        <v>140</v>
      </c>
      <c r="H350" s="4">
        <v>205</v>
      </c>
      <c r="I350" s="4">
        <v>233</v>
      </c>
      <c r="J350" s="4">
        <v>204</v>
      </c>
      <c r="K350" s="4">
        <v>169</v>
      </c>
      <c r="L350" s="4">
        <v>86</v>
      </c>
      <c r="M350" s="4">
        <v>352</v>
      </c>
      <c r="N350" s="4">
        <v>259</v>
      </c>
      <c r="O350" s="4">
        <v>66</v>
      </c>
      <c r="P350" s="4">
        <v>264</v>
      </c>
    </row>
    <row r="351" spans="1:16">
      <c r="A351" s="46">
        <v>25</v>
      </c>
      <c r="B351" s="2" t="s">
        <v>139</v>
      </c>
      <c r="C351" s="2" t="s">
        <v>65</v>
      </c>
      <c r="D351" s="4">
        <v>775</v>
      </c>
      <c r="E351" s="4">
        <v>1519</v>
      </c>
      <c r="F351" s="4">
        <v>290</v>
      </c>
      <c r="G351" s="4">
        <v>636</v>
      </c>
      <c r="H351" s="4">
        <v>377</v>
      </c>
      <c r="I351" s="4">
        <v>416</v>
      </c>
      <c r="J351" s="4">
        <v>361</v>
      </c>
      <c r="K351" s="4">
        <v>186</v>
      </c>
      <c r="L351" s="4">
        <v>1749</v>
      </c>
      <c r="M351" s="4">
        <v>1344</v>
      </c>
      <c r="N351" s="4">
        <v>769</v>
      </c>
      <c r="O351" s="4">
        <v>547</v>
      </c>
      <c r="P351" s="4">
        <v>1797</v>
      </c>
    </row>
    <row r="352" spans="1:16">
      <c r="A352" s="46">
        <v>25</v>
      </c>
      <c r="B352" s="2" t="s">
        <v>139</v>
      </c>
      <c r="C352" s="2" t="s">
        <v>67</v>
      </c>
      <c r="D352" s="4">
        <v>2028</v>
      </c>
      <c r="E352" s="4">
        <v>1925</v>
      </c>
      <c r="F352" s="4">
        <v>1183</v>
      </c>
      <c r="G352" s="4">
        <v>1485</v>
      </c>
      <c r="H352" s="4">
        <v>2172</v>
      </c>
      <c r="I352" s="4">
        <v>1060</v>
      </c>
      <c r="J352" s="4">
        <v>786</v>
      </c>
      <c r="K352" s="4">
        <v>1134</v>
      </c>
      <c r="L352" s="4">
        <v>2977</v>
      </c>
      <c r="M352" s="4">
        <v>1129</v>
      </c>
      <c r="N352" s="4">
        <v>756</v>
      </c>
      <c r="O352" s="4">
        <v>917</v>
      </c>
      <c r="P352" s="4">
        <v>934</v>
      </c>
    </row>
    <row r="353" spans="1:16">
      <c r="A353" s="46">
        <v>25</v>
      </c>
      <c r="B353" s="2" t="s">
        <v>139</v>
      </c>
      <c r="C353" s="2" t="s">
        <v>69</v>
      </c>
      <c r="D353" s="4">
        <v>198</v>
      </c>
      <c r="E353" s="4">
        <v>146</v>
      </c>
      <c r="F353" s="4">
        <v>132</v>
      </c>
      <c r="G353" s="4">
        <v>326</v>
      </c>
      <c r="H353" s="4">
        <v>224</v>
      </c>
      <c r="I353" s="4">
        <v>676</v>
      </c>
      <c r="J353" s="4">
        <v>293</v>
      </c>
      <c r="K353" s="4">
        <v>286</v>
      </c>
      <c r="L353" s="4">
        <v>98</v>
      </c>
      <c r="M353" s="4">
        <v>100</v>
      </c>
      <c r="N353" s="4">
        <v>149</v>
      </c>
      <c r="O353" s="4">
        <v>145</v>
      </c>
      <c r="P353" s="4">
        <v>87</v>
      </c>
    </row>
    <row r="354" spans="1:16">
      <c r="A354" s="46">
        <v>25</v>
      </c>
      <c r="B354" s="2" t="s">
        <v>139</v>
      </c>
      <c r="C354" s="2" t="s">
        <v>212</v>
      </c>
      <c r="D354" s="4">
        <v>2</v>
      </c>
      <c r="E354" s="4">
        <v>8</v>
      </c>
      <c r="F354" s="4">
        <v>1</v>
      </c>
      <c r="G354" s="4">
        <v>0</v>
      </c>
      <c r="H354" s="4">
        <v>17</v>
      </c>
      <c r="I354" s="3"/>
      <c r="J354" s="4">
        <v>5</v>
      </c>
      <c r="K354" s="4">
        <v>0</v>
      </c>
      <c r="L354" s="4">
        <v>0</v>
      </c>
      <c r="M354" s="3"/>
      <c r="N354" s="4">
        <v>1</v>
      </c>
      <c r="O354" s="4">
        <v>0</v>
      </c>
      <c r="P354" s="3"/>
    </row>
    <row r="355" spans="1:16">
      <c r="A355" s="46">
        <v>25</v>
      </c>
      <c r="B355" s="2" t="s">
        <v>139</v>
      </c>
      <c r="C355" s="2" t="s">
        <v>73</v>
      </c>
      <c r="D355" s="4">
        <v>853</v>
      </c>
      <c r="E355" s="4">
        <v>592</v>
      </c>
      <c r="F355" s="4">
        <v>535</v>
      </c>
      <c r="G355" s="4">
        <v>502</v>
      </c>
      <c r="H355" s="4">
        <v>727</v>
      </c>
      <c r="I355" s="4">
        <v>484</v>
      </c>
      <c r="J355" s="4">
        <v>493</v>
      </c>
      <c r="K355" s="4">
        <v>368</v>
      </c>
      <c r="L355" s="4">
        <v>898</v>
      </c>
      <c r="M355" s="4">
        <v>544</v>
      </c>
      <c r="N355" s="4">
        <v>552</v>
      </c>
      <c r="O355" s="4">
        <v>1160</v>
      </c>
      <c r="P355" s="4">
        <v>89</v>
      </c>
    </row>
    <row r="356" spans="1:16">
      <c r="A356" s="46">
        <v>25</v>
      </c>
      <c r="B356" s="2" t="s">
        <v>139</v>
      </c>
      <c r="C356" s="2" t="s">
        <v>213</v>
      </c>
      <c r="D356" s="4">
        <v>6</v>
      </c>
      <c r="E356" s="4">
        <v>16</v>
      </c>
      <c r="F356" s="4">
        <v>15</v>
      </c>
      <c r="G356" s="4">
        <v>23</v>
      </c>
      <c r="H356" s="4">
        <v>9</v>
      </c>
      <c r="I356" s="4">
        <v>18</v>
      </c>
      <c r="J356" s="4">
        <v>36</v>
      </c>
      <c r="K356" s="4">
        <v>17</v>
      </c>
      <c r="L356" s="4">
        <v>47</v>
      </c>
      <c r="M356" s="4">
        <v>1</v>
      </c>
      <c r="N356" s="4">
        <v>0</v>
      </c>
      <c r="O356" s="4">
        <v>3</v>
      </c>
      <c r="P356" s="4">
        <v>14</v>
      </c>
    </row>
    <row r="357" spans="1:16">
      <c r="A357" s="46">
        <v>25</v>
      </c>
      <c r="B357" s="2" t="s">
        <v>139</v>
      </c>
      <c r="C357" s="2" t="s">
        <v>77</v>
      </c>
      <c r="D357" s="4">
        <v>285</v>
      </c>
      <c r="E357" s="4">
        <v>199</v>
      </c>
      <c r="F357" s="4">
        <v>247</v>
      </c>
      <c r="G357" s="4">
        <v>243</v>
      </c>
      <c r="H357" s="4">
        <v>226</v>
      </c>
      <c r="I357" s="4">
        <v>676</v>
      </c>
      <c r="J357" s="4">
        <v>143</v>
      </c>
      <c r="K357" s="4">
        <v>196</v>
      </c>
      <c r="L357" s="4">
        <v>468</v>
      </c>
      <c r="M357" s="4">
        <v>260</v>
      </c>
      <c r="N357" s="4">
        <v>115</v>
      </c>
      <c r="O357" s="4">
        <v>228</v>
      </c>
      <c r="P357" s="4">
        <v>146</v>
      </c>
    </row>
    <row r="358" spans="1:16">
      <c r="A358" s="46">
        <v>25</v>
      </c>
      <c r="B358" s="2" t="s">
        <v>139</v>
      </c>
      <c r="C358" s="2" t="s">
        <v>79</v>
      </c>
      <c r="D358" s="4">
        <v>45</v>
      </c>
      <c r="E358" s="4">
        <v>42</v>
      </c>
      <c r="F358" s="4">
        <v>43</v>
      </c>
      <c r="G358" s="4">
        <v>28</v>
      </c>
      <c r="H358" s="4">
        <v>96</v>
      </c>
      <c r="I358" s="4">
        <v>15</v>
      </c>
      <c r="J358" s="4">
        <v>44</v>
      </c>
      <c r="K358" s="4">
        <v>49</v>
      </c>
      <c r="L358" s="4">
        <v>7</v>
      </c>
      <c r="M358" s="4">
        <v>43</v>
      </c>
      <c r="N358" s="4">
        <v>30</v>
      </c>
      <c r="O358" s="4">
        <v>27</v>
      </c>
      <c r="P358" s="4">
        <v>29</v>
      </c>
    </row>
    <row r="359" spans="1:16">
      <c r="A359" s="46">
        <v>25</v>
      </c>
      <c r="B359" s="2" t="s">
        <v>139</v>
      </c>
      <c r="C359" s="2" t="s">
        <v>54</v>
      </c>
      <c r="D359" s="4">
        <v>17</v>
      </c>
      <c r="E359" s="4">
        <v>21</v>
      </c>
      <c r="F359" s="4">
        <v>5</v>
      </c>
      <c r="G359" s="4">
        <v>2</v>
      </c>
      <c r="H359" s="4">
        <v>149</v>
      </c>
      <c r="I359" s="4">
        <v>0</v>
      </c>
      <c r="J359" s="4">
        <v>96</v>
      </c>
      <c r="K359" s="4">
        <v>16</v>
      </c>
      <c r="L359" s="4">
        <v>145</v>
      </c>
      <c r="M359" s="4">
        <v>2</v>
      </c>
      <c r="N359" s="4">
        <v>0</v>
      </c>
      <c r="O359" s="4">
        <v>61</v>
      </c>
      <c r="P359" s="4">
        <v>0</v>
      </c>
    </row>
    <row r="360" spans="1:16">
      <c r="A360" s="46">
        <v>25</v>
      </c>
      <c r="B360" s="2" t="s">
        <v>139</v>
      </c>
      <c r="C360" s="2" t="s">
        <v>82</v>
      </c>
      <c r="D360" s="4">
        <v>202</v>
      </c>
      <c r="E360" s="4">
        <v>125</v>
      </c>
      <c r="F360" s="4">
        <v>40</v>
      </c>
      <c r="G360" s="4">
        <v>17</v>
      </c>
      <c r="H360" s="4">
        <v>64</v>
      </c>
      <c r="I360" s="4">
        <v>88</v>
      </c>
      <c r="J360" s="4">
        <v>61</v>
      </c>
      <c r="K360" s="4">
        <v>19</v>
      </c>
      <c r="L360" s="4">
        <v>166</v>
      </c>
      <c r="M360" s="4">
        <v>42</v>
      </c>
      <c r="N360" s="4">
        <v>146</v>
      </c>
      <c r="O360" s="4">
        <v>10</v>
      </c>
      <c r="P360" s="4">
        <v>38</v>
      </c>
    </row>
    <row r="361" spans="1:16">
      <c r="A361" s="46">
        <v>25</v>
      </c>
      <c r="B361" s="2" t="s">
        <v>139</v>
      </c>
      <c r="C361" s="2" t="s">
        <v>84</v>
      </c>
      <c r="D361" s="4">
        <v>-284</v>
      </c>
      <c r="E361" s="4">
        <v>-78</v>
      </c>
      <c r="F361" s="4">
        <v>80</v>
      </c>
      <c r="G361" s="4">
        <v>62</v>
      </c>
      <c r="H361" s="4">
        <v>31</v>
      </c>
      <c r="I361" s="4">
        <v>80</v>
      </c>
      <c r="J361" s="4">
        <v>65</v>
      </c>
      <c r="K361" s="4">
        <v>27</v>
      </c>
      <c r="L361" s="4">
        <v>206</v>
      </c>
      <c r="M361" s="4">
        <v>7</v>
      </c>
      <c r="N361" s="4">
        <v>19</v>
      </c>
      <c r="O361" s="4">
        <v>17</v>
      </c>
      <c r="P361" s="4">
        <v>29</v>
      </c>
    </row>
    <row r="362" spans="1:16">
      <c r="A362" s="46">
        <v>25</v>
      </c>
      <c r="B362" s="2" t="s">
        <v>139</v>
      </c>
      <c r="C362" s="2" t="s">
        <v>86</v>
      </c>
      <c r="D362" s="4">
        <v>846</v>
      </c>
      <c r="E362" s="4">
        <v>183</v>
      </c>
      <c r="F362" s="4">
        <v>335</v>
      </c>
      <c r="G362" s="4">
        <v>540</v>
      </c>
      <c r="H362" s="4">
        <v>1413</v>
      </c>
      <c r="I362" s="4">
        <v>1040</v>
      </c>
      <c r="J362" s="4">
        <v>1359</v>
      </c>
      <c r="K362" s="4">
        <v>641</v>
      </c>
      <c r="L362" s="4">
        <v>728</v>
      </c>
      <c r="M362" s="4">
        <v>821</v>
      </c>
      <c r="N362" s="4">
        <v>798</v>
      </c>
      <c r="O362" s="4">
        <v>1044</v>
      </c>
      <c r="P362" s="4">
        <v>266</v>
      </c>
    </row>
    <row r="363" spans="1:16">
      <c r="A363" s="46">
        <v>25</v>
      </c>
      <c r="B363" s="2" t="s">
        <v>139</v>
      </c>
      <c r="C363" s="2" t="s">
        <v>214</v>
      </c>
      <c r="D363" s="4">
        <v>19</v>
      </c>
      <c r="E363" s="4">
        <v>25</v>
      </c>
      <c r="F363" s="4">
        <v>36</v>
      </c>
      <c r="G363" s="4">
        <v>20</v>
      </c>
      <c r="H363" s="4">
        <v>35</v>
      </c>
      <c r="I363" s="4">
        <v>14</v>
      </c>
      <c r="J363" s="4">
        <v>19</v>
      </c>
      <c r="K363" s="4">
        <v>64</v>
      </c>
      <c r="L363" s="4">
        <v>55</v>
      </c>
      <c r="M363" s="4">
        <v>38</v>
      </c>
      <c r="N363" s="4">
        <v>129</v>
      </c>
      <c r="O363" s="4">
        <v>6</v>
      </c>
      <c r="P363" s="4">
        <v>10</v>
      </c>
    </row>
    <row r="364" spans="1:16">
      <c r="A364" s="46">
        <v>26</v>
      </c>
      <c r="B364" s="2" t="s">
        <v>141</v>
      </c>
      <c r="C364" s="2" t="s">
        <v>210</v>
      </c>
      <c r="D364" s="4">
        <v>8</v>
      </c>
      <c r="E364" s="4">
        <v>1</v>
      </c>
      <c r="F364" s="4">
        <v>11</v>
      </c>
      <c r="G364" s="4">
        <v>9</v>
      </c>
      <c r="H364" s="4">
        <v>6</v>
      </c>
      <c r="I364" s="4">
        <v>9</v>
      </c>
      <c r="J364" s="4">
        <v>12</v>
      </c>
      <c r="K364" s="4">
        <v>14</v>
      </c>
      <c r="L364" s="4">
        <v>10</v>
      </c>
      <c r="M364" s="4">
        <v>5</v>
      </c>
      <c r="N364" s="4">
        <v>10</v>
      </c>
      <c r="O364" s="4">
        <v>11</v>
      </c>
      <c r="P364" s="4">
        <v>9</v>
      </c>
    </row>
    <row r="365" spans="1:16">
      <c r="A365" s="46">
        <v>26</v>
      </c>
      <c r="B365" s="2" t="s">
        <v>141</v>
      </c>
      <c r="C365" s="2" t="s">
        <v>211</v>
      </c>
      <c r="D365" s="4">
        <v>70</v>
      </c>
      <c r="E365" s="4">
        <v>60</v>
      </c>
      <c r="F365" s="4">
        <v>59</v>
      </c>
      <c r="G365" s="4">
        <v>229</v>
      </c>
      <c r="H365" s="4">
        <v>88</v>
      </c>
      <c r="I365" s="4">
        <v>50</v>
      </c>
      <c r="J365" s="4">
        <v>171</v>
      </c>
      <c r="K365" s="4">
        <v>107</v>
      </c>
      <c r="L365" s="4">
        <v>200</v>
      </c>
      <c r="M365" s="4">
        <v>54</v>
      </c>
      <c r="N365" s="4">
        <v>108</v>
      </c>
      <c r="O365" s="4">
        <v>58</v>
      </c>
      <c r="P365" s="4">
        <v>66</v>
      </c>
    </row>
    <row r="366" spans="1:16">
      <c r="A366" s="46">
        <v>26</v>
      </c>
      <c r="B366" s="2" t="s">
        <v>141</v>
      </c>
      <c r="C366" s="2" t="s">
        <v>65</v>
      </c>
      <c r="D366" s="4">
        <v>101</v>
      </c>
      <c r="E366" s="4">
        <v>37</v>
      </c>
      <c r="F366" s="4">
        <v>81</v>
      </c>
      <c r="G366" s="4">
        <v>69</v>
      </c>
      <c r="H366" s="4">
        <v>41</v>
      </c>
      <c r="I366" s="4">
        <v>34</v>
      </c>
      <c r="J366" s="4">
        <v>88</v>
      </c>
      <c r="K366" s="4">
        <v>33</v>
      </c>
      <c r="L366" s="4">
        <v>84</v>
      </c>
      <c r="M366" s="4">
        <v>71</v>
      </c>
      <c r="N366" s="4">
        <v>59</v>
      </c>
      <c r="O366" s="4">
        <v>19</v>
      </c>
      <c r="P366" s="4">
        <v>37</v>
      </c>
    </row>
    <row r="367" spans="1:16">
      <c r="A367" s="46">
        <v>26</v>
      </c>
      <c r="B367" s="2" t="s">
        <v>141</v>
      </c>
      <c r="C367" s="2" t="s">
        <v>67</v>
      </c>
      <c r="D367" s="4">
        <v>676</v>
      </c>
      <c r="E367" s="4">
        <v>340</v>
      </c>
      <c r="F367" s="4">
        <v>305</v>
      </c>
      <c r="G367" s="4">
        <v>225</v>
      </c>
      <c r="H367" s="4">
        <v>734</v>
      </c>
      <c r="I367" s="4">
        <v>367</v>
      </c>
      <c r="J367" s="4">
        <v>250</v>
      </c>
      <c r="K367" s="4">
        <v>343</v>
      </c>
      <c r="L367" s="4">
        <v>212</v>
      </c>
      <c r="M367" s="4">
        <v>532</v>
      </c>
      <c r="N367" s="4">
        <v>271</v>
      </c>
      <c r="O367" s="4">
        <v>558</v>
      </c>
      <c r="P367" s="4">
        <v>948</v>
      </c>
    </row>
    <row r="368" spans="1:16">
      <c r="A368" s="46">
        <v>26</v>
      </c>
      <c r="B368" s="2" t="s">
        <v>141</v>
      </c>
      <c r="C368" s="2" t="s">
        <v>69</v>
      </c>
      <c r="D368" s="4">
        <v>0</v>
      </c>
      <c r="E368" s="4">
        <v>10</v>
      </c>
      <c r="F368" s="4">
        <v>1</v>
      </c>
      <c r="G368" s="4">
        <v>1</v>
      </c>
      <c r="H368" s="4">
        <v>2</v>
      </c>
      <c r="I368" s="4">
        <v>0</v>
      </c>
      <c r="J368" s="4">
        <v>5</v>
      </c>
      <c r="K368" s="4">
        <v>2</v>
      </c>
      <c r="L368" s="4">
        <v>2</v>
      </c>
      <c r="M368" s="3"/>
      <c r="N368" s="3"/>
      <c r="O368" s="4">
        <v>1</v>
      </c>
      <c r="P368" s="4">
        <v>1</v>
      </c>
    </row>
    <row r="369" spans="1:16">
      <c r="A369" s="46">
        <v>26</v>
      </c>
      <c r="B369" s="2" t="s">
        <v>141</v>
      </c>
      <c r="C369" s="2" t="s">
        <v>212</v>
      </c>
      <c r="D369" s="3"/>
      <c r="E369" s="4">
        <v>33</v>
      </c>
      <c r="F369" s="3"/>
      <c r="G369" s="4">
        <v>8</v>
      </c>
      <c r="H369" s="4">
        <v>0</v>
      </c>
      <c r="I369" s="4">
        <v>19</v>
      </c>
      <c r="J369" s="4">
        <v>0</v>
      </c>
      <c r="K369" s="4">
        <v>5</v>
      </c>
      <c r="L369" s="4">
        <v>0</v>
      </c>
      <c r="M369" s="4">
        <v>-8</v>
      </c>
      <c r="N369" s="3"/>
      <c r="O369" s="3"/>
      <c r="P369" s="4">
        <v>11</v>
      </c>
    </row>
    <row r="370" spans="1:16">
      <c r="A370" s="46">
        <v>26</v>
      </c>
      <c r="B370" s="2" t="s">
        <v>141</v>
      </c>
      <c r="C370" s="2" t="s">
        <v>73</v>
      </c>
      <c r="D370" s="4">
        <v>126</v>
      </c>
      <c r="E370" s="4">
        <v>95</v>
      </c>
      <c r="F370" s="4">
        <v>68</v>
      </c>
      <c r="G370" s="4">
        <v>82</v>
      </c>
      <c r="H370" s="4">
        <v>174</v>
      </c>
      <c r="I370" s="4">
        <v>68</v>
      </c>
      <c r="J370" s="4">
        <v>87</v>
      </c>
      <c r="K370" s="4">
        <v>200</v>
      </c>
      <c r="L370" s="4">
        <v>55</v>
      </c>
      <c r="M370" s="4">
        <v>134</v>
      </c>
      <c r="N370" s="4">
        <v>81</v>
      </c>
      <c r="O370" s="4">
        <v>282</v>
      </c>
      <c r="P370" s="4">
        <v>97</v>
      </c>
    </row>
    <row r="371" spans="1:16">
      <c r="A371" s="46">
        <v>26</v>
      </c>
      <c r="B371" s="2" t="s">
        <v>141</v>
      </c>
      <c r="C371" s="2" t="s">
        <v>213</v>
      </c>
      <c r="D371" s="4">
        <v>0</v>
      </c>
      <c r="E371" s="3"/>
      <c r="F371" s="4">
        <v>8</v>
      </c>
      <c r="G371" s="4">
        <v>68</v>
      </c>
      <c r="H371" s="4">
        <v>14</v>
      </c>
      <c r="I371" s="4">
        <v>3</v>
      </c>
      <c r="J371" s="4">
        <v>16</v>
      </c>
      <c r="K371" s="4">
        <v>3</v>
      </c>
      <c r="L371" s="4">
        <v>1</v>
      </c>
      <c r="M371" s="4">
        <v>2</v>
      </c>
      <c r="N371" s="4">
        <v>14</v>
      </c>
      <c r="O371" s="4">
        <v>7</v>
      </c>
      <c r="P371" s="4">
        <v>9</v>
      </c>
    </row>
    <row r="372" spans="1:16">
      <c r="A372" s="46">
        <v>26</v>
      </c>
      <c r="B372" s="2" t="s">
        <v>141</v>
      </c>
      <c r="C372" s="2" t="s">
        <v>77</v>
      </c>
      <c r="D372" s="4">
        <v>27</v>
      </c>
      <c r="E372" s="4">
        <v>28</v>
      </c>
      <c r="F372" s="4">
        <v>20</v>
      </c>
      <c r="G372" s="4">
        <v>25</v>
      </c>
      <c r="H372" s="4">
        <v>35</v>
      </c>
      <c r="I372" s="4">
        <v>230</v>
      </c>
      <c r="J372" s="4">
        <v>147</v>
      </c>
      <c r="K372" s="4">
        <v>417</v>
      </c>
      <c r="L372" s="4">
        <v>81</v>
      </c>
      <c r="M372" s="4">
        <v>27</v>
      </c>
      <c r="N372" s="4">
        <v>183</v>
      </c>
      <c r="O372" s="4">
        <v>57</v>
      </c>
      <c r="P372" s="4">
        <v>67</v>
      </c>
    </row>
    <row r="373" spans="1:16">
      <c r="A373" s="46">
        <v>26</v>
      </c>
      <c r="B373" s="2" t="s">
        <v>141</v>
      </c>
      <c r="C373" s="2" t="s">
        <v>79</v>
      </c>
      <c r="D373" s="4">
        <v>2</v>
      </c>
      <c r="E373" s="4">
        <v>0</v>
      </c>
      <c r="F373" s="4">
        <v>0</v>
      </c>
      <c r="G373" s="4">
        <v>18</v>
      </c>
      <c r="H373" s="4">
        <v>4</v>
      </c>
      <c r="I373" s="4">
        <v>2</v>
      </c>
      <c r="J373" s="4">
        <v>3</v>
      </c>
      <c r="K373" s="4">
        <v>3</v>
      </c>
      <c r="L373" s="4">
        <v>7</v>
      </c>
      <c r="M373" s="4">
        <v>2</v>
      </c>
      <c r="N373" s="4">
        <v>12</v>
      </c>
      <c r="O373" s="4">
        <v>0</v>
      </c>
      <c r="P373" s="4">
        <v>2</v>
      </c>
    </row>
    <row r="374" spans="1:16">
      <c r="A374" s="46">
        <v>26</v>
      </c>
      <c r="B374" s="2" t="s">
        <v>141</v>
      </c>
      <c r="C374" s="2" t="s">
        <v>54</v>
      </c>
      <c r="D374" s="4">
        <v>15</v>
      </c>
      <c r="E374" s="4">
        <v>25</v>
      </c>
      <c r="F374" s="4">
        <v>1</v>
      </c>
      <c r="G374" s="4">
        <v>102</v>
      </c>
      <c r="H374" s="4">
        <v>0</v>
      </c>
      <c r="I374" s="4">
        <v>20</v>
      </c>
      <c r="J374" s="4">
        <v>20</v>
      </c>
      <c r="K374" s="4">
        <v>0</v>
      </c>
      <c r="L374" s="4">
        <v>6</v>
      </c>
      <c r="M374" s="4">
        <v>6</v>
      </c>
      <c r="N374" s="4">
        <v>0</v>
      </c>
      <c r="O374" s="3"/>
      <c r="P374" s="4">
        <v>3</v>
      </c>
    </row>
    <row r="375" spans="1:16">
      <c r="A375" s="46">
        <v>26</v>
      </c>
      <c r="B375" s="2" t="s">
        <v>141</v>
      </c>
      <c r="C375" s="2" t="s">
        <v>82</v>
      </c>
      <c r="D375" s="4">
        <v>689</v>
      </c>
      <c r="E375" s="4">
        <v>8</v>
      </c>
      <c r="F375" s="4">
        <v>3</v>
      </c>
      <c r="G375" s="4">
        <v>21</v>
      </c>
      <c r="H375" s="4">
        <v>11</v>
      </c>
      <c r="I375" s="4">
        <v>23</v>
      </c>
      <c r="J375" s="4">
        <v>75</v>
      </c>
      <c r="K375" s="4">
        <v>11</v>
      </c>
      <c r="L375" s="4">
        <v>202</v>
      </c>
      <c r="M375" s="4">
        <v>847</v>
      </c>
      <c r="N375" s="4">
        <v>259</v>
      </c>
      <c r="O375" s="4">
        <v>506</v>
      </c>
      <c r="P375" s="4">
        <v>443</v>
      </c>
    </row>
    <row r="376" spans="1:16">
      <c r="A376" s="46">
        <v>26</v>
      </c>
      <c r="B376" s="2" t="s">
        <v>141</v>
      </c>
      <c r="C376" s="2" t="s">
        <v>84</v>
      </c>
      <c r="D376" s="4">
        <v>30</v>
      </c>
      <c r="E376" s="4">
        <v>10</v>
      </c>
      <c r="F376" s="4">
        <v>43</v>
      </c>
      <c r="G376" s="4">
        <v>93</v>
      </c>
      <c r="H376" s="4">
        <v>125</v>
      </c>
      <c r="I376" s="4">
        <v>4</v>
      </c>
      <c r="J376" s="4">
        <v>124</v>
      </c>
      <c r="K376" s="4">
        <v>85</v>
      </c>
      <c r="L376" s="4">
        <v>8</v>
      </c>
      <c r="M376" s="4">
        <v>31</v>
      </c>
      <c r="N376" s="4">
        <v>32</v>
      </c>
      <c r="O376" s="4">
        <v>131</v>
      </c>
      <c r="P376" s="4">
        <v>30</v>
      </c>
    </row>
    <row r="377" spans="1:16">
      <c r="A377" s="46">
        <v>26</v>
      </c>
      <c r="B377" s="2" t="s">
        <v>141</v>
      </c>
      <c r="C377" s="2" t="s">
        <v>86</v>
      </c>
      <c r="D377" s="4">
        <v>281</v>
      </c>
      <c r="E377" s="4">
        <v>118</v>
      </c>
      <c r="F377" s="4">
        <v>171</v>
      </c>
      <c r="G377" s="4">
        <v>260</v>
      </c>
      <c r="H377" s="4">
        <v>124</v>
      </c>
      <c r="I377" s="4">
        <v>158</v>
      </c>
      <c r="J377" s="4">
        <v>142</v>
      </c>
      <c r="K377" s="4">
        <v>287</v>
      </c>
      <c r="L377" s="4">
        <v>413</v>
      </c>
      <c r="M377" s="4">
        <v>205</v>
      </c>
      <c r="N377" s="4">
        <v>306</v>
      </c>
      <c r="O377" s="4">
        <v>332</v>
      </c>
      <c r="P377" s="4">
        <v>163</v>
      </c>
    </row>
    <row r="378" spans="1:16">
      <c r="A378" s="46">
        <v>26</v>
      </c>
      <c r="B378" s="2" t="s">
        <v>141</v>
      </c>
      <c r="C378" s="2" t="s">
        <v>214</v>
      </c>
      <c r="D378" s="4">
        <v>7</v>
      </c>
      <c r="E378" s="4">
        <v>25</v>
      </c>
      <c r="F378" s="4">
        <v>15</v>
      </c>
      <c r="G378" s="4">
        <v>10</v>
      </c>
      <c r="H378" s="4">
        <v>3</v>
      </c>
      <c r="I378" s="4">
        <v>149</v>
      </c>
      <c r="J378" s="4">
        <v>43</v>
      </c>
      <c r="K378" s="4">
        <v>27</v>
      </c>
      <c r="L378" s="4">
        <v>20</v>
      </c>
      <c r="M378" s="4">
        <v>9</v>
      </c>
      <c r="N378" s="4">
        <v>22</v>
      </c>
      <c r="O378" s="4">
        <v>7</v>
      </c>
      <c r="P378" s="4">
        <v>33</v>
      </c>
    </row>
    <row r="379" spans="1:16">
      <c r="A379" s="46">
        <v>27</v>
      </c>
      <c r="B379" s="2" t="s">
        <v>143</v>
      </c>
      <c r="C379" s="2" t="s">
        <v>73</v>
      </c>
      <c r="D379" s="3"/>
      <c r="E379" s="3"/>
      <c r="F379" s="3"/>
      <c r="G379" s="4">
        <v>502</v>
      </c>
      <c r="H379" s="4">
        <v>277</v>
      </c>
      <c r="I379" s="4">
        <v>736</v>
      </c>
      <c r="J379" s="4">
        <v>960</v>
      </c>
      <c r="K379" s="4">
        <v>1480</v>
      </c>
      <c r="L379" s="4">
        <v>2472</v>
      </c>
      <c r="M379" s="4">
        <v>1881</v>
      </c>
      <c r="N379" s="4">
        <v>1920</v>
      </c>
      <c r="O379" s="4">
        <v>2864</v>
      </c>
      <c r="P379" s="4">
        <v>2240</v>
      </c>
    </row>
    <row r="380" spans="1:16">
      <c r="A380" s="46">
        <v>27</v>
      </c>
      <c r="B380" s="2" t="s">
        <v>143</v>
      </c>
      <c r="C380" s="2" t="s">
        <v>77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4">
        <v>1</v>
      </c>
      <c r="O380" s="3"/>
      <c r="P380" s="3"/>
    </row>
    <row r="381" spans="1:16">
      <c r="A381" s="46">
        <v>27</v>
      </c>
      <c r="B381" s="2" t="s">
        <v>143</v>
      </c>
      <c r="C381" s="2" t="s">
        <v>86</v>
      </c>
      <c r="D381" s="3"/>
      <c r="E381" s="3"/>
      <c r="F381" s="3"/>
      <c r="G381" s="3"/>
      <c r="H381" s="3"/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</row>
    <row r="382" spans="1:16">
      <c r="A382" s="46">
        <v>27</v>
      </c>
      <c r="B382" s="2" t="s">
        <v>143</v>
      </c>
      <c r="C382" s="2" t="s">
        <v>214</v>
      </c>
      <c r="D382" s="3"/>
      <c r="E382" s="3"/>
      <c r="F382" s="3"/>
      <c r="G382" s="3"/>
      <c r="H382" s="3"/>
      <c r="I382" s="3"/>
      <c r="J382" s="3"/>
      <c r="K382" s="3"/>
      <c r="L382" s="4">
        <v>0</v>
      </c>
      <c r="M382" s="3"/>
      <c r="N382" s="3"/>
      <c r="O382" s="3"/>
      <c r="P382" s="3"/>
    </row>
    <row r="383" spans="1:16">
      <c r="A383" s="46">
        <v>28</v>
      </c>
      <c r="B383" s="2" t="s">
        <v>145</v>
      </c>
      <c r="C383" s="2" t="s">
        <v>210</v>
      </c>
      <c r="D383" s="4">
        <v>-1</v>
      </c>
      <c r="E383" s="4">
        <v>4</v>
      </c>
      <c r="F383" s="4">
        <v>23</v>
      </c>
      <c r="G383" s="4">
        <v>8</v>
      </c>
      <c r="H383" s="4">
        <v>10</v>
      </c>
      <c r="I383" s="4">
        <v>5</v>
      </c>
      <c r="J383" s="4">
        <v>9</v>
      </c>
      <c r="K383" s="4">
        <v>14</v>
      </c>
      <c r="L383" s="4">
        <v>2</v>
      </c>
      <c r="M383" s="4">
        <v>2</v>
      </c>
      <c r="N383" s="4">
        <v>32</v>
      </c>
      <c r="O383" s="4">
        <v>19</v>
      </c>
      <c r="P383" s="4">
        <v>2</v>
      </c>
    </row>
    <row r="384" spans="1:16">
      <c r="A384" s="46">
        <v>28</v>
      </c>
      <c r="B384" s="2" t="s">
        <v>145</v>
      </c>
      <c r="C384" s="2" t="s">
        <v>211</v>
      </c>
      <c r="D384" s="4">
        <v>3</v>
      </c>
      <c r="E384" s="4">
        <v>0</v>
      </c>
      <c r="F384" s="4">
        <v>24</v>
      </c>
      <c r="G384" s="4">
        <v>15</v>
      </c>
      <c r="H384" s="4">
        <v>2</v>
      </c>
      <c r="I384" s="4">
        <v>8</v>
      </c>
      <c r="J384" s="4">
        <v>23</v>
      </c>
      <c r="K384" s="4">
        <v>4</v>
      </c>
      <c r="L384" s="4">
        <v>17</v>
      </c>
      <c r="M384" s="4">
        <v>14</v>
      </c>
      <c r="N384" s="4">
        <v>9</v>
      </c>
      <c r="O384" s="4">
        <v>37</v>
      </c>
      <c r="P384" s="4">
        <v>131</v>
      </c>
    </row>
    <row r="385" spans="1:16">
      <c r="A385" s="46">
        <v>28</v>
      </c>
      <c r="B385" s="2" t="s">
        <v>145</v>
      </c>
      <c r="C385" s="2" t="s">
        <v>65</v>
      </c>
      <c r="D385" s="4">
        <v>-83</v>
      </c>
      <c r="E385" s="4">
        <v>82</v>
      </c>
      <c r="F385" s="4">
        <v>-5</v>
      </c>
      <c r="G385" s="4">
        <v>12</v>
      </c>
      <c r="H385" s="4">
        <v>49</v>
      </c>
      <c r="I385" s="4">
        <v>624</v>
      </c>
      <c r="J385" s="4">
        <v>405</v>
      </c>
      <c r="K385" s="4">
        <v>575</v>
      </c>
      <c r="L385" s="4">
        <v>259</v>
      </c>
      <c r="M385" s="4">
        <v>1408</v>
      </c>
      <c r="N385" s="4">
        <v>105</v>
      </c>
      <c r="O385" s="4">
        <v>37</v>
      </c>
      <c r="P385" s="4">
        <v>44</v>
      </c>
    </row>
    <row r="386" spans="1:16">
      <c r="A386" s="46">
        <v>28</v>
      </c>
      <c r="B386" s="2" t="s">
        <v>145</v>
      </c>
      <c r="C386" s="2" t="s">
        <v>67</v>
      </c>
      <c r="D386" s="4">
        <v>66</v>
      </c>
      <c r="E386" s="4">
        <v>117</v>
      </c>
      <c r="F386" s="4">
        <v>12</v>
      </c>
      <c r="G386" s="4">
        <v>20</v>
      </c>
      <c r="H386" s="4">
        <v>34</v>
      </c>
      <c r="I386" s="4">
        <v>15</v>
      </c>
      <c r="J386" s="4">
        <v>70</v>
      </c>
      <c r="K386" s="4">
        <v>84</v>
      </c>
      <c r="L386" s="4">
        <v>11</v>
      </c>
      <c r="M386" s="4">
        <v>90</v>
      </c>
      <c r="N386" s="4">
        <v>14</v>
      </c>
      <c r="O386" s="4">
        <v>6</v>
      </c>
      <c r="P386" s="4">
        <v>8</v>
      </c>
    </row>
    <row r="387" spans="1:16">
      <c r="A387" s="46">
        <v>28</v>
      </c>
      <c r="B387" s="2" t="s">
        <v>145</v>
      </c>
      <c r="C387" s="2" t="s">
        <v>69</v>
      </c>
      <c r="D387" s="3"/>
      <c r="E387" s="4">
        <v>0</v>
      </c>
      <c r="F387" s="4">
        <v>0</v>
      </c>
      <c r="G387" s="4">
        <v>1</v>
      </c>
      <c r="H387" s="4">
        <v>26</v>
      </c>
      <c r="I387" s="3"/>
      <c r="J387" s="3"/>
      <c r="K387" s="4">
        <v>3</v>
      </c>
      <c r="L387" s="3"/>
      <c r="M387" s="4">
        <v>4</v>
      </c>
      <c r="N387" s="4">
        <v>1</v>
      </c>
      <c r="O387" s="4">
        <v>2</v>
      </c>
      <c r="P387" s="4">
        <v>8</v>
      </c>
    </row>
    <row r="388" spans="1:16">
      <c r="A388" s="46">
        <v>28</v>
      </c>
      <c r="B388" s="2" t="s">
        <v>145</v>
      </c>
      <c r="C388" s="2" t="s">
        <v>212</v>
      </c>
      <c r="D388" s="3"/>
      <c r="E388" s="3"/>
      <c r="F388" s="3"/>
      <c r="G388" s="3"/>
      <c r="H388" s="3"/>
      <c r="I388" s="3"/>
      <c r="J388" s="3"/>
      <c r="K388" s="3"/>
      <c r="L388" s="4">
        <v>1</v>
      </c>
      <c r="M388" s="4">
        <v>0</v>
      </c>
      <c r="N388" s="3"/>
      <c r="O388" s="3"/>
      <c r="P388" s="3"/>
    </row>
    <row r="389" spans="1:16">
      <c r="A389" s="46">
        <v>28</v>
      </c>
      <c r="B389" s="2" t="s">
        <v>145</v>
      </c>
      <c r="C389" s="2" t="s">
        <v>73</v>
      </c>
      <c r="D389" s="4">
        <v>1</v>
      </c>
      <c r="E389" s="4">
        <v>8</v>
      </c>
      <c r="F389" s="4">
        <v>4</v>
      </c>
      <c r="G389" s="4">
        <v>14</v>
      </c>
      <c r="H389" s="4">
        <v>0</v>
      </c>
      <c r="I389" s="3"/>
      <c r="J389" s="4">
        <v>11</v>
      </c>
      <c r="K389" s="4">
        <v>12</v>
      </c>
      <c r="L389" s="4">
        <v>12</v>
      </c>
      <c r="M389" s="4">
        <v>18</v>
      </c>
      <c r="N389" s="4">
        <v>2</v>
      </c>
      <c r="O389" s="4">
        <v>5</v>
      </c>
      <c r="P389" s="4">
        <v>30</v>
      </c>
    </row>
    <row r="390" spans="1:16">
      <c r="A390" s="46">
        <v>28</v>
      </c>
      <c r="B390" s="2" t="s">
        <v>145</v>
      </c>
      <c r="C390" s="2" t="s">
        <v>213</v>
      </c>
      <c r="D390" s="4">
        <v>8</v>
      </c>
      <c r="E390" s="4">
        <v>2</v>
      </c>
      <c r="F390" s="4">
        <v>4</v>
      </c>
      <c r="G390" s="4">
        <v>3</v>
      </c>
      <c r="H390" s="4">
        <v>1</v>
      </c>
      <c r="I390" s="4">
        <v>-1.3877787807814457E-17</v>
      </c>
      <c r="J390" s="4">
        <v>0</v>
      </c>
      <c r="K390" s="4">
        <v>15</v>
      </c>
      <c r="L390" s="4">
        <v>2</v>
      </c>
      <c r="M390" s="4">
        <v>0</v>
      </c>
      <c r="N390" s="4">
        <v>0</v>
      </c>
      <c r="O390" s="4">
        <v>0</v>
      </c>
      <c r="P390" s="3"/>
    </row>
    <row r="391" spans="1:16">
      <c r="A391" s="46">
        <v>28</v>
      </c>
      <c r="B391" s="2" t="s">
        <v>145</v>
      </c>
      <c r="C391" s="2" t="s">
        <v>77</v>
      </c>
      <c r="D391" s="4">
        <v>124</v>
      </c>
      <c r="E391" s="4">
        <v>301</v>
      </c>
      <c r="F391" s="4">
        <v>52</v>
      </c>
      <c r="G391" s="4">
        <v>3</v>
      </c>
      <c r="H391" s="4">
        <v>126</v>
      </c>
      <c r="I391" s="4">
        <v>3</v>
      </c>
      <c r="J391" s="4">
        <v>40</v>
      </c>
      <c r="K391" s="4">
        <v>80</v>
      </c>
      <c r="L391" s="4">
        <v>222</v>
      </c>
      <c r="M391" s="4">
        <v>114</v>
      </c>
      <c r="N391" s="4">
        <v>101</v>
      </c>
      <c r="O391" s="4">
        <v>40</v>
      </c>
      <c r="P391" s="4">
        <v>68</v>
      </c>
    </row>
    <row r="392" spans="1:16">
      <c r="A392" s="46">
        <v>28</v>
      </c>
      <c r="B392" s="2" t="s">
        <v>145</v>
      </c>
      <c r="C392" s="2" t="s">
        <v>79</v>
      </c>
      <c r="D392" s="4">
        <v>44</v>
      </c>
      <c r="E392" s="4">
        <v>-2</v>
      </c>
      <c r="F392" s="4">
        <v>144</v>
      </c>
      <c r="G392" s="4">
        <v>-5</v>
      </c>
      <c r="H392" s="4">
        <v>82</v>
      </c>
      <c r="I392" s="4">
        <v>70</v>
      </c>
      <c r="J392" s="3"/>
      <c r="K392" s="4">
        <v>158</v>
      </c>
      <c r="L392" s="4">
        <v>1</v>
      </c>
      <c r="M392" s="4">
        <v>1</v>
      </c>
      <c r="N392" s="4">
        <v>9</v>
      </c>
      <c r="O392" s="4">
        <v>0</v>
      </c>
      <c r="P392" s="4">
        <v>61</v>
      </c>
    </row>
    <row r="393" spans="1:16">
      <c r="A393" s="46">
        <v>28</v>
      </c>
      <c r="B393" s="2" t="s">
        <v>145</v>
      </c>
      <c r="C393" s="2" t="s">
        <v>54</v>
      </c>
      <c r="D393" s="4">
        <v>1022</v>
      </c>
      <c r="E393" s="4">
        <v>287</v>
      </c>
      <c r="F393" s="4">
        <v>432</v>
      </c>
      <c r="G393" s="4">
        <v>353</v>
      </c>
      <c r="H393" s="4">
        <v>252</v>
      </c>
      <c r="I393" s="4">
        <v>346</v>
      </c>
      <c r="J393" s="4">
        <v>490</v>
      </c>
      <c r="K393" s="4">
        <v>748</v>
      </c>
      <c r="L393" s="4">
        <v>472</v>
      </c>
      <c r="M393" s="4">
        <v>223</v>
      </c>
      <c r="N393" s="4">
        <v>288</v>
      </c>
      <c r="O393" s="4">
        <v>353</v>
      </c>
      <c r="P393" s="4">
        <v>440</v>
      </c>
    </row>
    <row r="394" spans="1:16">
      <c r="A394" s="46">
        <v>28</v>
      </c>
      <c r="B394" s="2" t="s">
        <v>145</v>
      </c>
      <c r="C394" s="2" t="s">
        <v>82</v>
      </c>
      <c r="D394" s="4">
        <v>17</v>
      </c>
      <c r="E394" s="4">
        <v>36</v>
      </c>
      <c r="F394" s="4">
        <v>15</v>
      </c>
      <c r="G394" s="4">
        <v>33</v>
      </c>
      <c r="H394" s="4">
        <v>2</v>
      </c>
      <c r="I394" s="4">
        <v>37</v>
      </c>
      <c r="J394" s="4">
        <v>7</v>
      </c>
      <c r="K394" s="4">
        <v>0</v>
      </c>
      <c r="L394" s="4">
        <v>2</v>
      </c>
      <c r="M394" s="4">
        <v>2</v>
      </c>
      <c r="N394" s="4">
        <v>3</v>
      </c>
      <c r="O394" s="4">
        <v>9</v>
      </c>
      <c r="P394" s="4">
        <v>2</v>
      </c>
    </row>
    <row r="395" spans="1:16">
      <c r="A395" s="46">
        <v>28</v>
      </c>
      <c r="B395" s="2" t="s">
        <v>145</v>
      </c>
      <c r="C395" s="2" t="s">
        <v>84</v>
      </c>
      <c r="D395" s="4">
        <v>21</v>
      </c>
      <c r="E395" s="4">
        <v>3</v>
      </c>
      <c r="F395" s="4">
        <v>0</v>
      </c>
      <c r="G395" s="4">
        <v>4</v>
      </c>
      <c r="H395" s="4">
        <v>2</v>
      </c>
      <c r="I395" s="4">
        <v>0</v>
      </c>
      <c r="J395" s="3"/>
      <c r="K395" s="3"/>
      <c r="L395" s="4">
        <v>2</v>
      </c>
      <c r="M395" s="3"/>
      <c r="N395" s="3"/>
      <c r="O395" s="4">
        <v>0</v>
      </c>
      <c r="P395" s="4">
        <v>2</v>
      </c>
    </row>
    <row r="396" spans="1:16">
      <c r="A396" s="46">
        <v>28</v>
      </c>
      <c r="B396" s="2" t="s">
        <v>145</v>
      </c>
      <c r="C396" s="2" t="s">
        <v>86</v>
      </c>
      <c r="D396" s="4">
        <v>419</v>
      </c>
      <c r="E396" s="4">
        <v>-166</v>
      </c>
      <c r="F396" s="4">
        <v>53</v>
      </c>
      <c r="G396" s="4">
        <v>73</v>
      </c>
      <c r="H396" s="4">
        <v>11</v>
      </c>
      <c r="I396" s="4">
        <v>336</v>
      </c>
      <c r="J396" s="4">
        <v>819</v>
      </c>
      <c r="K396" s="4">
        <v>334</v>
      </c>
      <c r="L396" s="4">
        <v>181</v>
      </c>
      <c r="M396" s="4">
        <v>56</v>
      </c>
      <c r="N396" s="4">
        <v>15</v>
      </c>
      <c r="O396" s="4">
        <v>313</v>
      </c>
      <c r="P396" s="4">
        <v>137</v>
      </c>
    </row>
    <row r="397" spans="1:16">
      <c r="A397" s="46">
        <v>28</v>
      </c>
      <c r="B397" s="2" t="s">
        <v>145</v>
      </c>
      <c r="C397" s="2" t="s">
        <v>214</v>
      </c>
      <c r="D397" s="3"/>
      <c r="E397" s="4">
        <v>0</v>
      </c>
      <c r="F397" s="3"/>
      <c r="G397" s="4">
        <v>0</v>
      </c>
      <c r="H397" s="3"/>
      <c r="I397" s="4">
        <v>15</v>
      </c>
      <c r="J397" s="4">
        <v>0</v>
      </c>
      <c r="K397" s="4">
        <v>31</v>
      </c>
      <c r="L397" s="3"/>
      <c r="M397" s="4">
        <v>7</v>
      </c>
      <c r="N397" s="4">
        <v>1</v>
      </c>
      <c r="O397" s="4">
        <v>6</v>
      </c>
      <c r="P397" s="4">
        <v>10</v>
      </c>
    </row>
    <row r="398" spans="1:16">
      <c r="A398" s="46">
        <v>29</v>
      </c>
      <c r="B398" s="2" t="s">
        <v>147</v>
      </c>
      <c r="C398" s="2" t="s">
        <v>210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4">
        <v>12</v>
      </c>
      <c r="O398" s="4">
        <v>0</v>
      </c>
      <c r="P398" s="4">
        <v>3</v>
      </c>
    </row>
    <row r="399" spans="1:16">
      <c r="A399" s="46">
        <v>29</v>
      </c>
      <c r="B399" s="2" t="s">
        <v>147</v>
      </c>
      <c r="C399" s="2" t="s">
        <v>211</v>
      </c>
      <c r="D399" s="3"/>
      <c r="E399" s="3"/>
      <c r="F399" s="3"/>
      <c r="G399" s="3"/>
      <c r="H399" s="3"/>
      <c r="I399" s="4">
        <v>3</v>
      </c>
      <c r="J399" s="4">
        <v>14</v>
      </c>
      <c r="K399" s="4">
        <v>35</v>
      </c>
      <c r="L399" s="4">
        <v>175</v>
      </c>
      <c r="M399" s="4">
        <v>119</v>
      </c>
      <c r="N399" s="4">
        <v>210</v>
      </c>
      <c r="O399" s="4">
        <v>412</v>
      </c>
      <c r="P399" s="4">
        <v>85</v>
      </c>
    </row>
    <row r="400" spans="1:16">
      <c r="A400" s="46">
        <v>29</v>
      </c>
      <c r="B400" s="2" t="s">
        <v>147</v>
      </c>
      <c r="C400" s="2" t="s">
        <v>65</v>
      </c>
      <c r="D400" s="3"/>
      <c r="E400" s="3"/>
      <c r="F400" s="3"/>
      <c r="G400" s="3"/>
      <c r="H400" s="3"/>
      <c r="I400" s="4">
        <v>2</v>
      </c>
      <c r="J400" s="4">
        <v>0</v>
      </c>
      <c r="K400" s="3"/>
      <c r="L400" s="4">
        <v>2</v>
      </c>
      <c r="M400" s="4">
        <v>8</v>
      </c>
      <c r="N400" s="4">
        <v>21</v>
      </c>
      <c r="O400" s="4">
        <v>1</v>
      </c>
      <c r="P400" s="4">
        <v>3</v>
      </c>
    </row>
    <row r="401" spans="1:16">
      <c r="A401" s="46">
        <v>29</v>
      </c>
      <c r="B401" s="2" t="s">
        <v>147</v>
      </c>
      <c r="C401" s="2" t="s">
        <v>67</v>
      </c>
      <c r="D401" s="3"/>
      <c r="E401" s="3"/>
      <c r="F401" s="3"/>
      <c r="G401" s="3"/>
      <c r="H401" s="4">
        <v>15</v>
      </c>
      <c r="I401" s="4">
        <v>30</v>
      </c>
      <c r="J401" s="4">
        <v>38</v>
      </c>
      <c r="K401" s="4">
        <v>53</v>
      </c>
      <c r="L401" s="4">
        <v>23</v>
      </c>
      <c r="M401" s="4">
        <v>8</v>
      </c>
      <c r="N401" s="4">
        <v>65</v>
      </c>
      <c r="O401" s="4">
        <v>30</v>
      </c>
      <c r="P401" s="4">
        <v>140</v>
      </c>
    </row>
    <row r="402" spans="1:16">
      <c r="A402" s="46">
        <v>29</v>
      </c>
      <c r="B402" s="2" t="s">
        <v>147</v>
      </c>
      <c r="C402" s="2" t="s">
        <v>69</v>
      </c>
      <c r="D402" s="3"/>
      <c r="E402" s="3"/>
      <c r="F402" s="3"/>
      <c r="G402" s="3"/>
      <c r="H402" s="3"/>
      <c r="I402" s="4">
        <v>4</v>
      </c>
      <c r="J402" s="4">
        <v>0</v>
      </c>
      <c r="K402" s="3"/>
      <c r="L402" s="3"/>
      <c r="M402" s="3"/>
      <c r="N402" s="3"/>
      <c r="O402" s="4">
        <v>1</v>
      </c>
      <c r="P402" s="4">
        <v>10</v>
      </c>
    </row>
    <row r="403" spans="1:16">
      <c r="A403" s="46">
        <v>29</v>
      </c>
      <c r="B403" s="2" t="s">
        <v>147</v>
      </c>
      <c r="C403" s="2" t="s">
        <v>73</v>
      </c>
      <c r="D403" s="3"/>
      <c r="E403" s="3"/>
      <c r="F403" s="3"/>
      <c r="G403" s="4">
        <v>1</v>
      </c>
      <c r="H403" s="4">
        <v>32</v>
      </c>
      <c r="I403" s="4">
        <v>2</v>
      </c>
      <c r="J403" s="4">
        <v>56</v>
      </c>
      <c r="K403" s="4">
        <v>63</v>
      </c>
      <c r="L403" s="4">
        <v>38</v>
      </c>
      <c r="M403" s="4">
        <v>18</v>
      </c>
      <c r="N403" s="4">
        <v>36</v>
      </c>
      <c r="O403" s="4">
        <v>34</v>
      </c>
      <c r="P403" s="4">
        <v>28</v>
      </c>
    </row>
    <row r="404" spans="1:16">
      <c r="A404" s="46">
        <v>29</v>
      </c>
      <c r="B404" s="2" t="s">
        <v>147</v>
      </c>
      <c r="C404" s="2" t="s">
        <v>213</v>
      </c>
      <c r="D404" s="3"/>
      <c r="E404" s="3"/>
      <c r="F404" s="3"/>
      <c r="G404" s="3"/>
      <c r="H404" s="3"/>
      <c r="I404" s="3"/>
      <c r="J404" s="3"/>
      <c r="K404" s="3"/>
      <c r="L404" s="4">
        <v>0</v>
      </c>
      <c r="M404" s="3"/>
      <c r="N404" s="3"/>
      <c r="O404" s="3"/>
      <c r="P404" s="3"/>
    </row>
    <row r="405" spans="1:16">
      <c r="A405" s="46">
        <v>29</v>
      </c>
      <c r="B405" s="2" t="s">
        <v>147</v>
      </c>
      <c r="C405" s="2" t="s">
        <v>77</v>
      </c>
      <c r="D405" s="3"/>
      <c r="E405" s="3"/>
      <c r="F405" s="3"/>
      <c r="G405" s="3"/>
      <c r="H405" s="3"/>
      <c r="I405" s="4">
        <v>16</v>
      </c>
      <c r="J405" s="4">
        <v>0</v>
      </c>
      <c r="K405" s="4">
        <v>4</v>
      </c>
      <c r="L405" s="3"/>
      <c r="M405" s="3"/>
      <c r="N405" s="4">
        <v>12</v>
      </c>
      <c r="O405" s="4">
        <v>15</v>
      </c>
      <c r="P405" s="4">
        <v>13</v>
      </c>
    </row>
    <row r="406" spans="1:16">
      <c r="A406" s="46">
        <v>29</v>
      </c>
      <c r="B406" s="2" t="s">
        <v>147</v>
      </c>
      <c r="C406" s="2" t="s">
        <v>79</v>
      </c>
      <c r="D406" s="3"/>
      <c r="E406" s="3"/>
      <c r="F406" s="3"/>
      <c r="G406" s="3"/>
      <c r="H406" s="3"/>
      <c r="I406" s="4">
        <v>1</v>
      </c>
      <c r="J406" s="3"/>
      <c r="K406" s="3"/>
      <c r="L406" s="3"/>
      <c r="M406" s="3"/>
      <c r="N406" s="3"/>
      <c r="O406" s="3"/>
      <c r="P406" s="4">
        <v>1</v>
      </c>
    </row>
    <row r="407" spans="1:16">
      <c r="A407" s="46">
        <v>29</v>
      </c>
      <c r="B407" s="2" t="s">
        <v>147</v>
      </c>
      <c r="C407" s="2" t="s">
        <v>82</v>
      </c>
      <c r="D407" s="3"/>
      <c r="E407" s="3"/>
      <c r="F407" s="3"/>
      <c r="G407" s="3"/>
      <c r="H407" s="3"/>
      <c r="I407" s="3"/>
      <c r="J407" s="3"/>
      <c r="K407" s="3"/>
      <c r="L407" s="4">
        <v>22</v>
      </c>
      <c r="M407" s="4">
        <v>25</v>
      </c>
      <c r="N407" s="4">
        <v>9</v>
      </c>
      <c r="O407" s="4">
        <v>66</v>
      </c>
      <c r="P407" s="4">
        <v>9</v>
      </c>
    </row>
    <row r="408" spans="1:16">
      <c r="A408" s="46">
        <v>29</v>
      </c>
      <c r="B408" s="2" t="s">
        <v>147</v>
      </c>
      <c r="C408" s="2" t="s">
        <v>84</v>
      </c>
      <c r="D408" s="3"/>
      <c r="E408" s="3"/>
      <c r="F408" s="3"/>
      <c r="G408" s="3"/>
      <c r="H408" s="3"/>
      <c r="I408" s="3"/>
      <c r="J408" s="4">
        <v>6</v>
      </c>
      <c r="K408" s="3"/>
      <c r="L408" s="4">
        <v>9</v>
      </c>
      <c r="M408" s="4">
        <v>2</v>
      </c>
      <c r="N408" s="4">
        <v>30</v>
      </c>
      <c r="O408" s="4">
        <v>81</v>
      </c>
      <c r="P408" s="4">
        <v>7</v>
      </c>
    </row>
    <row r="409" spans="1:16">
      <c r="A409" s="46">
        <v>29</v>
      </c>
      <c r="B409" s="2" t="s">
        <v>147</v>
      </c>
      <c r="C409" s="2" t="s">
        <v>86</v>
      </c>
      <c r="D409" s="3"/>
      <c r="E409" s="3"/>
      <c r="F409" s="3"/>
      <c r="G409" s="3"/>
      <c r="H409" s="3"/>
      <c r="I409" s="3"/>
      <c r="J409" s="3"/>
      <c r="K409" s="3"/>
      <c r="L409" s="4">
        <v>1</v>
      </c>
      <c r="M409" s="4">
        <v>104</v>
      </c>
      <c r="N409" s="4">
        <v>50</v>
      </c>
      <c r="O409" s="4">
        <v>6</v>
      </c>
      <c r="P409" s="4">
        <v>0</v>
      </c>
    </row>
    <row r="410" spans="1:16">
      <c r="A410" s="46">
        <v>29</v>
      </c>
      <c r="B410" s="2" t="s">
        <v>147</v>
      </c>
      <c r="C410" s="2" t="s">
        <v>214</v>
      </c>
      <c r="D410" s="3"/>
      <c r="E410" s="3"/>
      <c r="F410" s="3"/>
      <c r="G410" s="3"/>
      <c r="H410" s="3"/>
      <c r="I410" s="3"/>
      <c r="J410" s="4">
        <v>1</v>
      </c>
      <c r="K410" s="3"/>
      <c r="L410" s="3"/>
      <c r="M410" s="4">
        <v>21</v>
      </c>
      <c r="N410" s="4">
        <v>0</v>
      </c>
      <c r="O410" s="4">
        <v>0</v>
      </c>
      <c r="P410" s="4">
        <v>2</v>
      </c>
    </row>
    <row r="411" spans="1:16">
      <c r="A411" s="46">
        <v>30</v>
      </c>
      <c r="B411" s="2" t="s">
        <v>149</v>
      </c>
      <c r="C411" s="2" t="s">
        <v>210</v>
      </c>
      <c r="D411" s="3"/>
      <c r="E411" s="3"/>
      <c r="F411" s="3"/>
      <c r="G411" s="4">
        <v>4</v>
      </c>
      <c r="H411" s="4">
        <v>1</v>
      </c>
      <c r="I411" s="4">
        <v>5</v>
      </c>
      <c r="J411" s="3"/>
      <c r="K411" s="3"/>
      <c r="L411" s="3"/>
      <c r="M411" s="4">
        <v>16</v>
      </c>
      <c r="N411" s="4">
        <v>0</v>
      </c>
      <c r="O411" s="3"/>
      <c r="P411" s="4">
        <v>1</v>
      </c>
    </row>
    <row r="412" spans="1:16">
      <c r="A412" s="46">
        <v>30</v>
      </c>
      <c r="B412" s="2" t="s">
        <v>149</v>
      </c>
      <c r="C412" s="2" t="s">
        <v>211</v>
      </c>
      <c r="D412" s="4">
        <v>52</v>
      </c>
      <c r="E412" s="4">
        <v>10</v>
      </c>
      <c r="F412" s="4">
        <v>190</v>
      </c>
      <c r="G412" s="4">
        <v>0</v>
      </c>
      <c r="H412" s="3"/>
      <c r="I412" s="4">
        <v>4</v>
      </c>
      <c r="J412" s="4">
        <v>20</v>
      </c>
      <c r="K412" s="4">
        <v>6</v>
      </c>
      <c r="L412" s="4">
        <v>75</v>
      </c>
      <c r="M412" s="4">
        <v>47</v>
      </c>
      <c r="N412" s="4">
        <v>36</v>
      </c>
      <c r="O412" s="4">
        <v>40</v>
      </c>
      <c r="P412" s="4">
        <v>104</v>
      </c>
    </row>
    <row r="413" spans="1:16">
      <c r="A413" s="46">
        <v>30</v>
      </c>
      <c r="B413" s="2" t="s">
        <v>149</v>
      </c>
      <c r="C413" s="2" t="s">
        <v>65</v>
      </c>
      <c r="D413" s="4">
        <v>11</v>
      </c>
      <c r="E413" s="4">
        <v>39</v>
      </c>
      <c r="F413" s="4">
        <v>129</v>
      </c>
      <c r="G413" s="4">
        <v>48</v>
      </c>
      <c r="H413" s="4">
        <v>1724</v>
      </c>
      <c r="I413" s="4">
        <v>72</v>
      </c>
      <c r="J413" s="4">
        <v>11</v>
      </c>
      <c r="K413" s="4">
        <v>130</v>
      </c>
      <c r="L413" s="4">
        <v>25</v>
      </c>
      <c r="M413" s="4">
        <v>502</v>
      </c>
      <c r="N413" s="4">
        <v>1085</v>
      </c>
      <c r="O413" s="4">
        <v>961</v>
      </c>
      <c r="P413" s="4">
        <v>87</v>
      </c>
    </row>
    <row r="414" spans="1:16">
      <c r="A414" s="46">
        <v>30</v>
      </c>
      <c r="B414" s="2" t="s">
        <v>149</v>
      </c>
      <c r="C414" s="2" t="s">
        <v>67</v>
      </c>
      <c r="D414" s="4">
        <v>85</v>
      </c>
      <c r="E414" s="4">
        <v>744</v>
      </c>
      <c r="F414" s="4">
        <v>353</v>
      </c>
      <c r="G414" s="4">
        <v>274</v>
      </c>
      <c r="H414" s="4">
        <v>510</v>
      </c>
      <c r="I414" s="4">
        <v>583</v>
      </c>
      <c r="J414" s="4">
        <v>1022</v>
      </c>
      <c r="K414" s="4">
        <v>489</v>
      </c>
      <c r="L414" s="4">
        <v>662</v>
      </c>
      <c r="M414" s="4">
        <v>259</v>
      </c>
      <c r="N414" s="4">
        <v>82</v>
      </c>
      <c r="O414" s="4">
        <v>601</v>
      </c>
      <c r="P414" s="4">
        <v>762</v>
      </c>
    </row>
    <row r="415" spans="1:16">
      <c r="A415" s="46">
        <v>30</v>
      </c>
      <c r="B415" s="2" t="s">
        <v>149</v>
      </c>
      <c r="C415" s="2" t="s">
        <v>69</v>
      </c>
      <c r="D415" s="3"/>
      <c r="E415" s="3"/>
      <c r="F415" s="4">
        <v>0</v>
      </c>
      <c r="G415" s="3"/>
      <c r="H415" s="3"/>
      <c r="I415" s="4">
        <v>1</v>
      </c>
      <c r="J415" s="4">
        <v>2</v>
      </c>
      <c r="K415" s="4">
        <v>10</v>
      </c>
      <c r="L415" s="4">
        <v>0</v>
      </c>
      <c r="M415" s="4">
        <v>1</v>
      </c>
      <c r="N415" s="4">
        <v>7</v>
      </c>
      <c r="O415" s="4">
        <v>1</v>
      </c>
      <c r="P415" s="4">
        <v>5</v>
      </c>
    </row>
    <row r="416" spans="1:16">
      <c r="A416" s="46">
        <v>30</v>
      </c>
      <c r="B416" s="2" t="s">
        <v>149</v>
      </c>
      <c r="C416" s="2" t="s">
        <v>212</v>
      </c>
      <c r="D416" s="3"/>
      <c r="E416" s="4">
        <v>0</v>
      </c>
      <c r="F416" s="3"/>
      <c r="G416" s="3"/>
      <c r="H416" s="3"/>
      <c r="I416" s="3"/>
      <c r="J416" s="3"/>
      <c r="K416" s="3"/>
      <c r="L416" s="4">
        <v>1</v>
      </c>
      <c r="M416" s="3"/>
      <c r="N416" s="3"/>
      <c r="O416" s="3"/>
      <c r="P416" s="3"/>
    </row>
    <row r="417" spans="1:16">
      <c r="A417" s="46">
        <v>30</v>
      </c>
      <c r="B417" s="2" t="s">
        <v>149</v>
      </c>
      <c r="C417" s="2" t="s">
        <v>73</v>
      </c>
      <c r="D417" s="4">
        <v>12</v>
      </c>
      <c r="E417" s="4">
        <v>9</v>
      </c>
      <c r="F417" s="4">
        <v>198</v>
      </c>
      <c r="G417" s="4">
        <v>25</v>
      </c>
      <c r="H417" s="4">
        <v>21</v>
      </c>
      <c r="I417" s="4">
        <v>26</v>
      </c>
      <c r="J417" s="4">
        <v>23</v>
      </c>
      <c r="K417" s="4">
        <v>54</v>
      </c>
      <c r="L417" s="4">
        <v>5</v>
      </c>
      <c r="M417" s="4">
        <v>159</v>
      </c>
      <c r="N417" s="4">
        <v>32</v>
      </c>
      <c r="O417" s="4">
        <v>42</v>
      </c>
      <c r="P417" s="4">
        <v>17</v>
      </c>
    </row>
    <row r="418" spans="1:16">
      <c r="A418" s="46">
        <v>30</v>
      </c>
      <c r="B418" s="2" t="s">
        <v>149</v>
      </c>
      <c r="C418" s="2" t="s">
        <v>213</v>
      </c>
      <c r="D418" s="4">
        <v>2</v>
      </c>
      <c r="E418" s="4">
        <v>400</v>
      </c>
      <c r="F418" s="4">
        <v>7</v>
      </c>
      <c r="G418" s="4">
        <v>4</v>
      </c>
      <c r="H418" s="4">
        <v>10</v>
      </c>
      <c r="I418" s="4">
        <v>74</v>
      </c>
      <c r="J418" s="4">
        <v>6</v>
      </c>
      <c r="K418" s="4">
        <v>7</v>
      </c>
      <c r="L418" s="4">
        <v>20</v>
      </c>
      <c r="M418" s="4">
        <v>5</v>
      </c>
      <c r="N418" s="4">
        <v>164</v>
      </c>
      <c r="O418" s="4">
        <v>233</v>
      </c>
      <c r="P418" s="4">
        <v>96</v>
      </c>
    </row>
    <row r="419" spans="1:16">
      <c r="A419" s="46">
        <v>30</v>
      </c>
      <c r="B419" s="2" t="s">
        <v>149</v>
      </c>
      <c r="C419" s="2" t="s">
        <v>77</v>
      </c>
      <c r="D419" s="4">
        <v>1</v>
      </c>
      <c r="E419" s="4">
        <v>4</v>
      </c>
      <c r="F419" s="4">
        <v>18</v>
      </c>
      <c r="G419" s="4">
        <v>3</v>
      </c>
      <c r="H419" s="4">
        <v>9</v>
      </c>
      <c r="I419" s="4">
        <v>3</v>
      </c>
      <c r="J419" s="4">
        <v>4</v>
      </c>
      <c r="K419" s="4">
        <v>15</v>
      </c>
      <c r="L419" s="4">
        <v>7</v>
      </c>
      <c r="M419" s="4">
        <v>5</v>
      </c>
      <c r="N419" s="4">
        <v>9</v>
      </c>
      <c r="O419" s="4">
        <v>90</v>
      </c>
      <c r="P419" s="4">
        <v>12</v>
      </c>
    </row>
    <row r="420" spans="1:16">
      <c r="A420" s="46">
        <v>30</v>
      </c>
      <c r="B420" s="2" t="s">
        <v>149</v>
      </c>
      <c r="C420" s="2" t="s">
        <v>79</v>
      </c>
      <c r="D420" s="4">
        <v>10</v>
      </c>
      <c r="E420" s="4">
        <v>0</v>
      </c>
      <c r="F420" s="4">
        <v>1</v>
      </c>
      <c r="G420" s="4">
        <v>6</v>
      </c>
      <c r="H420" s="4">
        <v>7</v>
      </c>
      <c r="I420" s="4">
        <v>3</v>
      </c>
      <c r="J420" s="4">
        <v>21</v>
      </c>
      <c r="K420" s="4">
        <v>9</v>
      </c>
      <c r="L420" s="4">
        <v>5</v>
      </c>
      <c r="M420" s="4">
        <v>29</v>
      </c>
      <c r="N420" s="4">
        <v>3</v>
      </c>
      <c r="O420" s="4">
        <v>6</v>
      </c>
      <c r="P420" s="4">
        <v>2</v>
      </c>
    </row>
    <row r="421" spans="1:16">
      <c r="A421" s="46">
        <v>30</v>
      </c>
      <c r="B421" s="2" t="s">
        <v>149</v>
      </c>
      <c r="C421" s="2" t="s">
        <v>54</v>
      </c>
      <c r="D421" s="4">
        <v>0</v>
      </c>
      <c r="E421" s="4">
        <v>6</v>
      </c>
      <c r="F421" s="4">
        <v>6</v>
      </c>
      <c r="G421" s="4">
        <v>1</v>
      </c>
      <c r="H421" s="4">
        <v>0</v>
      </c>
      <c r="I421" s="4">
        <v>5</v>
      </c>
      <c r="J421" s="4">
        <v>26</v>
      </c>
      <c r="K421" s="4">
        <v>1</v>
      </c>
      <c r="L421" s="4">
        <v>5</v>
      </c>
      <c r="M421" s="4">
        <v>26</v>
      </c>
      <c r="N421" s="4">
        <v>1</v>
      </c>
      <c r="O421" s="4">
        <v>9</v>
      </c>
      <c r="P421" s="4">
        <v>1</v>
      </c>
    </row>
    <row r="422" spans="1:16">
      <c r="A422" s="46">
        <v>30</v>
      </c>
      <c r="B422" s="2" t="s">
        <v>149</v>
      </c>
      <c r="C422" s="2" t="s">
        <v>82</v>
      </c>
      <c r="D422" s="4">
        <v>0</v>
      </c>
      <c r="E422" s="4">
        <v>0</v>
      </c>
      <c r="F422" s="4">
        <v>64</v>
      </c>
      <c r="G422" s="4">
        <v>6</v>
      </c>
      <c r="H422" s="4">
        <v>7</v>
      </c>
      <c r="I422" s="4">
        <v>5</v>
      </c>
      <c r="J422" s="4">
        <v>15</v>
      </c>
      <c r="K422" s="4">
        <v>1</v>
      </c>
      <c r="L422" s="4">
        <v>18</v>
      </c>
      <c r="M422" s="4">
        <v>23</v>
      </c>
      <c r="N422" s="4">
        <v>18</v>
      </c>
      <c r="O422" s="4">
        <v>15</v>
      </c>
      <c r="P422" s="4">
        <v>35</v>
      </c>
    </row>
    <row r="423" spans="1:16">
      <c r="A423" s="46">
        <v>30</v>
      </c>
      <c r="B423" s="2" t="s">
        <v>149</v>
      </c>
      <c r="C423" s="2" t="s">
        <v>84</v>
      </c>
      <c r="D423" s="4">
        <v>0</v>
      </c>
      <c r="E423" s="3"/>
      <c r="F423" s="4">
        <v>0</v>
      </c>
      <c r="G423" s="4">
        <v>1</v>
      </c>
      <c r="H423" s="4">
        <v>0</v>
      </c>
      <c r="I423" s="4">
        <v>35</v>
      </c>
      <c r="J423" s="4">
        <v>1</v>
      </c>
      <c r="K423" s="4">
        <v>1</v>
      </c>
      <c r="L423" s="4">
        <v>3</v>
      </c>
      <c r="M423" s="4">
        <v>6</v>
      </c>
      <c r="N423" s="4">
        <v>2</v>
      </c>
      <c r="O423" s="4">
        <v>1</v>
      </c>
      <c r="P423" s="3"/>
    </row>
    <row r="424" spans="1:16">
      <c r="A424" s="46">
        <v>30</v>
      </c>
      <c r="B424" s="2" t="s">
        <v>149</v>
      </c>
      <c r="C424" s="2" t="s">
        <v>86</v>
      </c>
      <c r="D424" s="4">
        <v>130</v>
      </c>
      <c r="E424" s="4">
        <v>40</v>
      </c>
      <c r="F424" s="4">
        <v>45</v>
      </c>
      <c r="G424" s="4">
        <v>9</v>
      </c>
      <c r="H424" s="4">
        <v>74</v>
      </c>
      <c r="I424" s="4">
        <v>158</v>
      </c>
      <c r="J424" s="4">
        <v>127</v>
      </c>
      <c r="K424" s="4">
        <v>109</v>
      </c>
      <c r="L424" s="4">
        <v>200</v>
      </c>
      <c r="M424" s="4">
        <v>217</v>
      </c>
      <c r="N424" s="4">
        <v>179</v>
      </c>
      <c r="O424" s="4">
        <v>91</v>
      </c>
      <c r="P424" s="4">
        <v>84</v>
      </c>
    </row>
    <row r="425" spans="1:16">
      <c r="A425" s="46">
        <v>30</v>
      </c>
      <c r="B425" s="2" t="s">
        <v>149</v>
      </c>
      <c r="C425" s="2" t="s">
        <v>214</v>
      </c>
      <c r="D425" s="4">
        <v>-24</v>
      </c>
      <c r="E425" s="4">
        <v>7</v>
      </c>
      <c r="F425" s="4">
        <v>2</v>
      </c>
      <c r="G425" s="4">
        <v>0</v>
      </c>
      <c r="H425" s="4">
        <v>1</v>
      </c>
      <c r="I425" s="4">
        <v>0</v>
      </c>
      <c r="J425" s="4">
        <v>0</v>
      </c>
      <c r="K425" s="4">
        <v>9</v>
      </c>
      <c r="L425" s="4">
        <v>0</v>
      </c>
      <c r="M425" s="4">
        <v>42</v>
      </c>
      <c r="N425" s="4">
        <v>16</v>
      </c>
      <c r="O425" s="4">
        <v>2</v>
      </c>
      <c r="P425" s="4">
        <v>2</v>
      </c>
    </row>
  </sheetData>
  <mergeCells count="4">
    <mergeCell ref="A1:A3"/>
    <mergeCell ref="B1:B3"/>
    <mergeCell ref="C1:C3"/>
    <mergeCell ref="D1:P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9819A7599D246A9031FFF106F969E" ma:contentTypeVersion="15" ma:contentTypeDescription="Create a new document." ma:contentTypeScope="" ma:versionID="9e271958d80c11ab041de54ccd0be1e0">
  <xsd:schema xmlns:xsd="http://www.w3.org/2001/XMLSchema" xmlns:xs="http://www.w3.org/2001/XMLSchema" xmlns:p="http://schemas.microsoft.com/office/2006/metadata/properties" xmlns:ns2="1e868d89-af84-480e-ae71-5bb23b67329a" xmlns:ns3="d9415f13-3030-419a-be9b-e5411acb7e95" targetNamespace="http://schemas.microsoft.com/office/2006/metadata/properties" ma:root="true" ma:fieldsID="5e2e04b6bd538bccdf4e7a71660f418c" ns2:_="" ns3:_="">
    <xsd:import namespace="1e868d89-af84-480e-ae71-5bb23b67329a"/>
    <xsd:import namespace="d9415f13-3030-419a-be9b-e5411acb7e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8d89-af84-480e-ae71-5bb23b6732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15f13-3030-419a-be9b-e5411acb7e9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168c6d8-f650-4a65-a55f-70b75074a347}" ma:internalName="TaxCatchAll" ma:showField="CatchAllData" ma:web="d9415f13-3030-419a-be9b-e5411acb7e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415f13-3030-419a-be9b-e5411acb7e95" xsi:nil="true"/>
    <lcf76f155ced4ddcb4097134ff3c332f xmlns="1e868d89-af84-480e-ae71-5bb23b6732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3A535E-24F5-44A1-873C-288BFE9CA666}"/>
</file>

<file path=customXml/itemProps2.xml><?xml version="1.0" encoding="utf-8"?>
<ds:datastoreItem xmlns:ds="http://schemas.openxmlformats.org/officeDocument/2006/customXml" ds:itemID="{4945BDCF-F80B-4FED-9D6E-9E061D9768B9}"/>
</file>

<file path=customXml/itemProps3.xml><?xml version="1.0" encoding="utf-8"?>
<ds:datastoreItem xmlns:ds="http://schemas.openxmlformats.org/officeDocument/2006/customXml" ds:itemID="{A5E20BC8-1A9D-4FA3-8239-A9723AAAB90C}"/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Anusha Basavaraj Siddannavar (anusbasa)</dc:creator>
  <cp:keywords/>
  <dc:description/>
  <cp:lastModifiedBy>Anusha Basavaraj Siddannavar (anusbasa)</cp:lastModifiedBy>
  <cp:revision/>
  <dcterms:created xsi:type="dcterms:W3CDTF">2026-02-26T08:27:02Z</dcterms:created>
  <dcterms:modified xsi:type="dcterms:W3CDTF">2026-03-20T12:23:47Z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0x010100DF49819A7599D246A9031FFF106F969E</vt:lpwstr>
  </property>
  <property fmtid="{D5CDD505-2E9C-101B-9397-08002B2CF9AE}" pid="3" name="MediaServiceImageTags">
    <vt:lpwstr/>
  </property>
</Properties>
</file>